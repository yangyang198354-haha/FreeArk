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ynologyDrive\朗诗\00业委会\10系统\02户内控制箱照片及新风机及使用手册\"/>
    </mc:Choice>
  </mc:AlternateContent>
  <xr:revisionPtr revIDLastSave="0" documentId="13_ncr:1_{062D241E-7795-49E4-ABEF-1DF4766FBDBD}" xr6:coauthVersionLast="47" xr6:coauthVersionMax="47" xr10:uidLastSave="{00000000-0000-0000-0000-000000000000}"/>
  <bookViews>
    <workbookView xWindow="16570" yWindow="2790" windowWidth="17340" windowHeight="15970" xr2:uid="{00000000-000D-0000-FFFF-FFFF00000000}"/>
  </bookViews>
  <sheets>
    <sheet name="PLC对应MODBUS地址表" sheetId="2" r:id="rId1"/>
    <sheet name="计算公式" sheetId="1" r:id="rId2"/>
    <sheet name="故障代码" sheetId="3" r:id="rId3"/>
    <sheet name="输入输出模块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2" l="1"/>
  <c r="H201" i="2"/>
  <c r="H202" i="2"/>
  <c r="H203" i="2"/>
  <c r="H204" i="2"/>
  <c r="H205" i="2"/>
  <c r="H199" i="2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H197" i="2"/>
  <c r="H195" i="2"/>
  <c r="H193" i="2"/>
  <c r="H191" i="2"/>
  <c r="H189" i="2"/>
  <c r="H187" i="2"/>
  <c r="H185" i="2"/>
  <c r="H183" i="2"/>
  <c r="H181" i="2"/>
  <c r="H179" i="2"/>
  <c r="H177" i="2"/>
  <c r="H175" i="2"/>
  <c r="H173" i="2"/>
  <c r="H171" i="2"/>
  <c r="H169" i="2"/>
  <c r="H167" i="2"/>
  <c r="H165" i="2"/>
  <c r="H163" i="2"/>
  <c r="H161" i="2"/>
  <c r="H159" i="2"/>
  <c r="H157" i="2"/>
  <c r="H155" i="2"/>
  <c r="H153" i="2"/>
  <c r="H151" i="2"/>
  <c r="H149" i="2"/>
  <c r="H147" i="2"/>
  <c r="H145" i="2"/>
  <c r="H143" i="2"/>
  <c r="H141" i="2"/>
  <c r="H139" i="2"/>
  <c r="H137" i="2"/>
  <c r="H135" i="2"/>
  <c r="H133" i="2"/>
  <c r="H131" i="2"/>
  <c r="H129" i="2"/>
  <c r="H127" i="2"/>
  <c r="H125" i="2"/>
  <c r="H123" i="2"/>
  <c r="H121" i="2"/>
  <c r="H119" i="2"/>
  <c r="H117" i="2"/>
  <c r="H115" i="2"/>
  <c r="H113" i="2"/>
  <c r="H111" i="2"/>
  <c r="H109" i="2"/>
  <c r="H107" i="2"/>
  <c r="H105" i="2"/>
  <c r="H103" i="2"/>
  <c r="H101" i="2"/>
  <c r="H99" i="2"/>
  <c r="H97" i="2"/>
  <c r="H95" i="2"/>
  <c r="H93" i="2"/>
  <c r="H91" i="2"/>
  <c r="H89" i="2"/>
  <c r="H87" i="2"/>
  <c r="H85" i="2"/>
  <c r="H83" i="2"/>
  <c r="H81" i="2"/>
  <c r="H79" i="2"/>
  <c r="H77" i="2"/>
  <c r="H75" i="2"/>
  <c r="H73" i="2"/>
  <c r="H71" i="2"/>
  <c r="H69" i="2"/>
  <c r="H67" i="2"/>
  <c r="H65" i="2"/>
  <c r="H63" i="2"/>
  <c r="H61" i="2"/>
  <c r="H59" i="2"/>
  <c r="H57" i="2"/>
  <c r="H55" i="2"/>
  <c r="H53" i="2"/>
  <c r="H51" i="2"/>
  <c r="H49" i="2"/>
  <c r="H47" i="2"/>
  <c r="H45" i="2"/>
  <c r="H43" i="2"/>
  <c r="H41" i="2"/>
  <c r="H39" i="2"/>
  <c r="H37" i="2"/>
  <c r="H35" i="2"/>
  <c r="H33" i="2"/>
  <c r="H28" i="2"/>
  <c r="H26" i="2"/>
  <c r="H24" i="2"/>
  <c r="H22" i="2"/>
  <c r="H20" i="2"/>
  <c r="H18" i="2"/>
  <c r="H16" i="2"/>
  <c r="H14" i="2"/>
  <c r="H12" i="2"/>
  <c r="H10" i="2"/>
  <c r="H8" i="2"/>
  <c r="H6" i="2"/>
  <c r="H4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控制开关的全部DBB数据，运行时间和IP是十六进制转换的</t>
        </r>
      </text>
    </comment>
    <comment ref="B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绿色底纹的是测试通过的</t>
        </r>
      </text>
    </comment>
    <comment ref="H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黑色的地址是MODBUS地址计算换算的出的</t>
        </r>
      </text>
    </comment>
    <comment ref="H3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红色的字是基于计算在偏+3（模式切换类）或+2（温控面板设置类）的出的地址</t>
        </r>
      </text>
    </comment>
  </commentList>
</comments>
</file>

<file path=xl/sharedStrings.xml><?xml version="1.0" encoding="utf-8"?>
<sst xmlns="http://schemas.openxmlformats.org/spreadsheetml/2006/main" count="639" uniqueCount="304">
  <si>
    <t>序号</t>
  </si>
  <si>
    <t>名称</t>
  </si>
  <si>
    <t>单位</t>
  </si>
  <si>
    <t>MODBUS地址十进制</t>
  </si>
  <si>
    <t>MODBUS位数</t>
  </si>
  <si>
    <t>放大系数</t>
  </si>
  <si>
    <t>小数点数</t>
  </si>
  <si>
    <t>PLC地址DB14数据块地址偏移量</t>
  </si>
  <si>
    <t>数据类型</t>
  </si>
  <si>
    <t>备注</t>
  </si>
  <si>
    <t>运行模式（1制冷、2制热、3通风、4除湿）</t>
  </si>
  <si>
    <t>废</t>
  </si>
  <si>
    <t>只读，131073制冷，131074制热，131075通风，131076除湿开机</t>
  </si>
  <si>
    <t>制冷DBW读取值为2，</t>
  </si>
  <si>
    <t>DBB</t>
  </si>
  <si>
    <t>制冷DBB为1，制热DBB为2，改为通风时DBB为3，除湿 4</t>
  </si>
  <si>
    <t>可写入</t>
  </si>
  <si>
    <t>系统开关（0关闭、1开启）</t>
  </si>
  <si>
    <t>只读，65536制冷关，65537制冷开，131072制热关，131073制热开机，196608通风关机，196609通风开机</t>
  </si>
  <si>
    <t>关机DBW读取值为1</t>
  </si>
  <si>
    <t>DBB关机0，开机1</t>
  </si>
  <si>
    <t>集中能源供给（1制冷，2制热，3无）</t>
  </si>
  <si>
    <t>只读，65537制冷1，65538制热2，65539无3</t>
  </si>
  <si>
    <t>制冷DBW读取值为1</t>
  </si>
  <si>
    <t>制冷DBB为1，制热DBB为2，改为通风时DBB为3</t>
  </si>
  <si>
    <t>加湿功能开关（0关闭、1开启）</t>
  </si>
  <si>
    <t>只读，2621440加湿关0，2621441加湿开1</t>
  </si>
  <si>
    <t>DBB数据，0关闭、1开启</t>
  </si>
  <si>
    <t>离家节能标识</t>
  </si>
  <si>
    <t>只读，65536关0，65537开1</t>
  </si>
  <si>
    <t>水力模块二次水出水温度检测值</t>
  </si>
  <si>
    <t>℃</t>
  </si>
  <si>
    <t>DBD数据</t>
  </si>
  <si>
    <t>DBW</t>
  </si>
  <si>
    <t>DBW数据</t>
  </si>
  <si>
    <t>BDW126地址是二次水出水温度检测值</t>
  </si>
  <si>
    <t>水力模块二次水进水温度检测值</t>
  </si>
  <si>
    <t>水力模块一次阀门开度</t>
  </si>
  <si>
    <t>%</t>
  </si>
  <si>
    <t>测试DBW值为1</t>
  </si>
  <si>
    <t>阀门开度显示0.1（1）</t>
  </si>
  <si>
    <t>新风机一次阀门开度反馈</t>
  </si>
  <si>
    <t>测试DBW值为90</t>
  </si>
  <si>
    <t>阀门开度显示9（90）</t>
  </si>
  <si>
    <t>PM2.5</t>
  </si>
  <si>
    <t>ug/m³</t>
  </si>
  <si>
    <t>DBD</t>
  </si>
  <si>
    <t>CO2</t>
  </si>
  <si>
    <t>PPM</t>
  </si>
  <si>
    <t>空气品质传感器通讯故障</t>
  </si>
  <si>
    <t>DBB、DBD数据0正常</t>
  </si>
  <si>
    <t>故障代码265-1</t>
  </si>
  <si>
    <t>能耗表通讯故障</t>
  </si>
  <si>
    <t>/</t>
  </si>
  <si>
    <t>65536正常</t>
  </si>
  <si>
    <t>工作时间</t>
  </si>
  <si>
    <t>秒</t>
  </si>
  <si>
    <t>数据不对</t>
  </si>
  <si>
    <t>十六进制</t>
  </si>
  <si>
    <t>464（0x04）、465（0x19）、466（0x66）、467（0x7C）连续 4 字节组合0x0419667C，恰好等于十进制 68773504</t>
  </si>
  <si>
    <t>测试时朗诗屏面板显示数据为68773504</t>
  </si>
  <si>
    <t>日志中地址 464~467 组成的 32 位大端数据即为十进制 68773504，对应的十六进制是0x0419667C</t>
  </si>
  <si>
    <t>累计制热量（软件221不对）</t>
  </si>
  <si>
    <t>度</t>
  </si>
  <si>
    <t>累计制冷量</t>
  </si>
  <si>
    <t>系统风量设置（1低速、2高速）</t>
  </si>
  <si>
    <t>档</t>
  </si>
  <si>
    <t>开机时65537低档1，开机时65538高速2，关机时1低档，关机时2高速</t>
  </si>
  <si>
    <t>DBB数据1低速、2高速</t>
  </si>
  <si>
    <t>风机转速</t>
  </si>
  <si>
    <t>转/分</t>
  </si>
  <si>
    <t>风机档位反馈</t>
  </si>
  <si>
    <t>滤网报警小时数设置</t>
  </si>
  <si>
    <t>小时</t>
  </si>
  <si>
    <t>默认1000小时</t>
  </si>
  <si>
    <t>滤网使用小时数</t>
  </si>
  <si>
    <t>清空滤网计时</t>
  </si>
  <si>
    <t>测试过DBD数据，监测中0，清空1，清空后会恢复到0。（写入数据时可后台清零）</t>
  </si>
  <si>
    <t>出风温度设定</t>
  </si>
  <si>
    <t>过盘管出风温度（系数不太对）</t>
  </si>
  <si>
    <t>新风入口温度</t>
  </si>
  <si>
    <t>盘管进水温度</t>
  </si>
  <si>
    <t>盘管出水温度</t>
  </si>
  <si>
    <t>加湿湿度上限（设置）</t>
  </si>
  <si>
    <t>加湿湿度下限（设置）</t>
  </si>
  <si>
    <t>默认湿度55</t>
  </si>
  <si>
    <t>水力模块低温故障</t>
  </si>
  <si>
    <t>新风机停机故障</t>
  </si>
  <si>
    <t>新风机通信故障</t>
  </si>
  <si>
    <t>BDW386故障码为1</t>
  </si>
  <si>
    <t>面板显示新风通讯故障193-1</t>
  </si>
  <si>
    <t>风机设备故障</t>
  </si>
  <si>
    <t>风机状态故障0-1</t>
  </si>
  <si>
    <t>DBW388风机状态故障故障码为1</t>
  </si>
  <si>
    <t>1的二进制=0001</t>
  </si>
  <si>
    <t>面板显示故障码194-1</t>
  </si>
  <si>
    <t>出风温度异常状态1-1</t>
  </si>
  <si>
    <t>DBW388故障码为2</t>
  </si>
  <si>
    <t>2的二进制=0010</t>
  </si>
  <si>
    <t>面板显示故障码194-2</t>
  </si>
  <si>
    <t>进风温度传感器故障2-1</t>
  </si>
  <si>
    <t>DBW388进风温度传感器故障码为4</t>
  </si>
  <si>
    <t>4的二进制=0100</t>
  </si>
  <si>
    <t>面板显示故障码194-4</t>
  </si>
  <si>
    <t>回水温度传感器故障3-1</t>
  </si>
  <si>
    <t>DBW388回水温度传感器故障码为8</t>
  </si>
  <si>
    <t>8的二进制=1000</t>
  </si>
  <si>
    <t>面板显示故障码194-8</t>
  </si>
  <si>
    <t>进水温度传感器故障4-1</t>
  </si>
  <si>
    <t>DBW388进水温度传感器故障码为16</t>
  </si>
  <si>
    <t>16的二进制=0001  0000</t>
  </si>
  <si>
    <t>面板显示故障码194-16</t>
  </si>
  <si>
    <t>加湿器故障5-1</t>
  </si>
  <si>
    <t>DBW388加湿器故障码为32</t>
  </si>
  <si>
    <t>32的二进制=0010  0000</t>
  </si>
  <si>
    <t>面板显示故障码194-32</t>
  </si>
  <si>
    <t>新风水阀故障6-1</t>
  </si>
  <si>
    <t>DBW388新风水阀故障码为64</t>
  </si>
  <si>
    <t>64的二进制=0100  0000</t>
  </si>
  <si>
    <t>面板显示故障码194-64</t>
  </si>
  <si>
    <t>防冻保护故障7-1</t>
  </si>
  <si>
    <t>DBW388防冻保护故障码为128</t>
  </si>
  <si>
    <t>128的二进制=1000  0000</t>
  </si>
  <si>
    <t>面板显示故障码194-128</t>
  </si>
  <si>
    <t>出风温度传感器故障8-1</t>
  </si>
  <si>
    <t>DBW388出风温度传感器故障码为256</t>
  </si>
  <si>
    <t>256的二进制=0001 0000  0000</t>
  </si>
  <si>
    <t>面板显示故障码194-256</t>
  </si>
  <si>
    <t>客厅开关（0关闭、1开启）</t>
  </si>
  <si>
    <t>0关闭、1开启</t>
  </si>
  <si>
    <t>DBB数据（0关闭、1开启）</t>
  </si>
  <si>
    <t>客厅实际温度</t>
  </si>
  <si>
    <t>可以作废</t>
  </si>
  <si>
    <t>DBW数据，读取后系数乘以0.1就为温度</t>
  </si>
  <si>
    <t>客厅相对湿度</t>
  </si>
  <si>
    <t>测试的出的数据不对</t>
  </si>
  <si>
    <t>DBW数据，读取后系数乘以0.1就为湿度</t>
  </si>
  <si>
    <t>客厅设定温度（设置）</t>
  </si>
  <si>
    <t>DBW数据一样的，乘以0.1就为温度</t>
  </si>
  <si>
    <t>客厅NTC温度传感器元件温度</t>
  </si>
  <si>
    <t>客厅面板露点温度设置</t>
  </si>
  <si>
    <t>客厅面板内置温度传感器故障</t>
  </si>
  <si>
    <t>客厅面板湿度传感器故障</t>
  </si>
  <si>
    <t>客厅面板外置温度传感器故障</t>
  </si>
  <si>
    <t>客厅面板凝露提醒</t>
  </si>
  <si>
    <t>客厅面板通讯故障</t>
  </si>
  <si>
    <t>三房主卧四房次卧开关（0关闭、1开启）</t>
  </si>
  <si>
    <t>65536关闭，65537开启</t>
  </si>
  <si>
    <t>三房主卧四房次卧实际温度</t>
  </si>
  <si>
    <t>三房主卧四房次卧相对湿度</t>
  </si>
  <si>
    <t>三房主卧四房次卧设定温度（设置）</t>
  </si>
  <si>
    <t>三房主卧四房次卧NTC温度传感器元件温度</t>
  </si>
  <si>
    <t>三房主卧四房次卧面板露点温度设置</t>
  </si>
  <si>
    <t>三房主卧四房次卧面板内置温度传感器故障</t>
  </si>
  <si>
    <t>测试数据显示0</t>
  </si>
  <si>
    <t>三房主卧四房次卧面板湿度传感器故障</t>
  </si>
  <si>
    <t>三房主卧四房次卧面板外置温度传感器故障</t>
  </si>
  <si>
    <t>三房主卧四房次卧面板凝露提醒</t>
  </si>
  <si>
    <t>三房主卧四房次卧面板通讯故障</t>
  </si>
  <si>
    <t>三房次卧四房主卧开关（0关闭、1开启）</t>
  </si>
  <si>
    <t>三房次卧四房主卧实际温度</t>
  </si>
  <si>
    <t>三房次卧四房主卧相对湿度</t>
  </si>
  <si>
    <t>三房次卧四房主卧设定温度（设置）</t>
  </si>
  <si>
    <t>三房次卧四房主卧NTC温度传感器元件温度</t>
  </si>
  <si>
    <t>三房次卧四房主卧面板露点温度设置</t>
  </si>
  <si>
    <t>三房次卧四房主卧面板内置温度传感器故障</t>
  </si>
  <si>
    <t>三房次卧四房主卧面板湿度传感器故障</t>
  </si>
  <si>
    <t>三房次卧四房主卧面板外置温度传感器故障</t>
  </si>
  <si>
    <t>三房次卧四房主卧面板凝露提醒</t>
  </si>
  <si>
    <t>三房次卧四房主卧面板通讯故障</t>
  </si>
  <si>
    <t>三房儿童房四房书房实际温度</t>
  </si>
  <si>
    <t>三房儿童房四房书房相对湿度</t>
  </si>
  <si>
    <t>三房儿童房四房书房设定温度（设置）</t>
  </si>
  <si>
    <t>三房儿童房四房书房NTC温度传感器元件温度</t>
  </si>
  <si>
    <t>三房儿童房四房书房面板露点温度设置</t>
  </si>
  <si>
    <t>三房儿童房四房书房面板内置温度传感器故障</t>
  </si>
  <si>
    <t>三房儿童房四房书房面板湿度传感器故障</t>
  </si>
  <si>
    <t>三房儿童房四房书房面板外置温度传感器故障</t>
  </si>
  <si>
    <t>三房儿童房四房书房面板凝露提醒</t>
  </si>
  <si>
    <t>三房儿童房四房书房面板通讯故障</t>
  </si>
  <si>
    <t>故障时测试数据显示1，故障代码709-1</t>
  </si>
  <si>
    <t>四房儿童房开关（0关闭、1开启）</t>
  </si>
  <si>
    <t>四房儿童房实际温度</t>
  </si>
  <si>
    <t>四房儿童房相对湿度</t>
  </si>
  <si>
    <t>四房儿童房设定温度（设置）</t>
  </si>
  <si>
    <t>四房儿童房NTC温度传感器元件温度</t>
  </si>
  <si>
    <t>四房儿童房面板露点温度设置</t>
  </si>
  <si>
    <t>四房儿童房面板内置温度传感器故障</t>
  </si>
  <si>
    <t>四房儿童房面板湿度传感器故障</t>
  </si>
  <si>
    <t>四房儿童房面板外置温度传感器故障</t>
  </si>
  <si>
    <t>四房儿童房面板凝露提醒</t>
  </si>
  <si>
    <t>四房儿童房面板通讯故障</t>
  </si>
  <si>
    <t>故障码799-1</t>
  </si>
  <si>
    <t>PLCIP地址1</t>
  </si>
  <si>
    <t>读十六进制154、155、156、157</t>
  </si>
  <si>
    <t>PLCIP地址2</t>
  </si>
  <si>
    <t>PLC子网掩码1</t>
  </si>
  <si>
    <t>PLC子网掩码2</t>
  </si>
  <si>
    <t>PLCIP地址确认</t>
  </si>
  <si>
    <t>PLC默认网关IP地址1</t>
  </si>
  <si>
    <t>PLC默认网关IP地址2</t>
  </si>
  <si>
    <t>读十六进制170、172、173、174</t>
  </si>
  <si>
    <t>十进制</t>
  </si>
  <si>
    <t>MODBUS地址</t>
  </si>
  <si>
    <t>PLC地址</t>
  </si>
  <si>
    <t>累计制热量</t>
  </si>
  <si>
    <t>故障类型</t>
  </si>
  <si>
    <t>DB14数据块偏移量</t>
  </si>
  <si>
    <t>故障代码</t>
  </si>
  <si>
    <t>DBW388数据为1时表示风机状态故障</t>
  </si>
  <si>
    <t>0-1表示采集的数据转化成二进制后从右往左数第1个数据</t>
  </si>
  <si>
    <t>DBW388数据为2时表示出风温度异常状态</t>
  </si>
  <si>
    <t>1-1表示采集的数据转化成二进制后从右往左数第2个数据</t>
  </si>
  <si>
    <t>DBW388数据为4时表示进风温度传感器故障</t>
  </si>
  <si>
    <t>2-1表示采集的数据转化成二进制后从右往左数第3个数据</t>
  </si>
  <si>
    <t>DBW388数据为8时表示回水温度传感器故障</t>
  </si>
  <si>
    <t>3-1表示采集的数据转化成二进制后从右往左数第4个数据</t>
  </si>
  <si>
    <t>DBW388数据为16时表示进水温度传感器故障</t>
  </si>
  <si>
    <t>4-1表示采集的数据转化成二进制后从右往左数第5个数据</t>
  </si>
  <si>
    <t>DBW388数据为32时表示加湿器故障</t>
  </si>
  <si>
    <t>5-1表示采集的数据转化成二进制后从右往左数第6个数据</t>
  </si>
  <si>
    <t>DBW388数据为64时表示新风水阀故障</t>
  </si>
  <si>
    <t>6-1表示采集的数据转化成二进制后从右往左数第7个数据</t>
  </si>
  <si>
    <t>DBW388数据为128时表示防冻保护故障</t>
  </si>
  <si>
    <t>7-1表示采集的数据转化成二进制后从右往左数第8个数据</t>
  </si>
  <si>
    <t>DBW388数据为256时表示出风温度传感器故障</t>
  </si>
  <si>
    <t>8-1表示采集的数据转化成二进制后从右往左数第9个数据</t>
  </si>
  <si>
    <t>继电器</t>
  </si>
  <si>
    <t>用途</t>
  </si>
  <si>
    <t>地址</t>
  </si>
  <si>
    <t>类型</t>
  </si>
  <si>
    <t>输入</t>
  </si>
  <si>
    <t>KA01</t>
  </si>
  <si>
    <t>辐射循环水泵</t>
  </si>
  <si>
    <t>Q0.0</t>
  </si>
  <si>
    <t>Bool</t>
  </si>
  <si>
    <t>DI a.0</t>
  </si>
  <si>
    <t>手控器触点</t>
  </si>
  <si>
    <t>I0.0</t>
  </si>
  <si>
    <t>切换至手控器模式时继电器KA09、KA10亮绿灯</t>
  </si>
  <si>
    <t>KA02</t>
  </si>
  <si>
    <t>排风扇</t>
  </si>
  <si>
    <t>Q0.1</t>
  </si>
  <si>
    <t>DI a.1</t>
  </si>
  <si>
    <t>I0.1</t>
  </si>
  <si>
    <t>KA03</t>
  </si>
  <si>
    <t>热电阀</t>
  </si>
  <si>
    <t>Q0.2</t>
  </si>
  <si>
    <t>DI a.2</t>
  </si>
  <si>
    <t>I0.2</t>
  </si>
  <si>
    <t>KA04</t>
  </si>
  <si>
    <t>Q0.3</t>
  </si>
  <si>
    <t>DI a.3</t>
  </si>
  <si>
    <t>I0.3</t>
  </si>
  <si>
    <t>KA05</t>
  </si>
  <si>
    <t>Q0.4</t>
  </si>
  <si>
    <t>DI a.4</t>
  </si>
  <si>
    <t>I0.4</t>
  </si>
  <si>
    <t>KA06</t>
  </si>
  <si>
    <t>Q0.5</t>
  </si>
  <si>
    <t>DI a.5</t>
  </si>
  <si>
    <t>I0.5</t>
  </si>
  <si>
    <t>KA07</t>
  </si>
  <si>
    <t>Q0.6</t>
  </si>
  <si>
    <t>DI a.6</t>
  </si>
  <si>
    <t>I0.6</t>
  </si>
  <si>
    <t>KA08</t>
  </si>
  <si>
    <t>Q0.7</t>
  </si>
  <si>
    <t>DI a.7</t>
  </si>
  <si>
    <t>I0.7</t>
  </si>
  <si>
    <t>KA09</t>
  </si>
  <si>
    <t>手控器电源</t>
  </si>
  <si>
    <t>Q1.0</t>
  </si>
  <si>
    <t>DI b.0</t>
  </si>
  <si>
    <t>I1.0</t>
  </si>
  <si>
    <t>KA10</t>
  </si>
  <si>
    <t>手控器485通讯</t>
  </si>
  <si>
    <t>Q1.1</t>
  </si>
  <si>
    <t>DI b.1</t>
  </si>
  <si>
    <t>I1.1</t>
  </si>
  <si>
    <t>DI b.2</t>
  </si>
  <si>
    <t>I1.2</t>
  </si>
  <si>
    <t>DI b.3</t>
  </si>
  <si>
    <t>I1.3</t>
  </si>
  <si>
    <t>模拟量输入通道0</t>
  </si>
  <si>
    <t>IW64</t>
  </si>
  <si>
    <t>int</t>
  </si>
  <si>
    <t>DI b.4</t>
  </si>
  <si>
    <t>I1.4</t>
  </si>
  <si>
    <t>模拟量输入通道1</t>
  </si>
  <si>
    <t>IW66</t>
  </si>
  <si>
    <t>DI b.5</t>
  </si>
  <si>
    <t>I1.5</t>
  </si>
  <si>
    <t>数据块</t>
  </si>
  <si>
    <t>总地址数</t>
  </si>
  <si>
    <t>SDB系统控制</t>
  </si>
  <si>
    <t>DB550.0</t>
  </si>
  <si>
    <t>SDB Modbus Read</t>
  </si>
  <si>
    <t>DB500.0</t>
  </si>
  <si>
    <t>SDB Modbus轮询</t>
  </si>
  <si>
    <t>DB510.0</t>
  </si>
  <si>
    <t>SDB MB_SLAVE大屏</t>
  </si>
  <si>
    <t>DB14</t>
  </si>
  <si>
    <t>三房儿童房四房书房开关（0关闭、1开启）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</si>
</sst>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3" fontId="0" fillId="0" borderId="5" xfId="0" applyNumberFormat="1" applyBorder="1" applyAlignment="1">
      <alignment horizontal="left" vertical="center" wrapText="1"/>
    </xf>
    <xf numFmtId="3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882650</xdr:colOff>
      <xdr:row>19</xdr:row>
      <xdr:rowOff>20092</xdr:rowOff>
    </xdr:from>
    <xdr:to>
      <xdr:col>12</xdr:col>
      <xdr:colOff>2017117</xdr:colOff>
      <xdr:row>28</xdr:row>
      <xdr:rowOff>21811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0100" y="4998085"/>
          <a:ext cx="3839210" cy="1602105"/>
        </a:xfrm>
        <a:prstGeom prst="rect">
          <a:avLst/>
        </a:prstGeom>
      </xdr:spPr>
    </xdr:pic>
    <xdr:clientData/>
  </xdr:twoCellAnchor>
  <xdr:twoCellAnchor editAs="oneCell">
    <xdr:from>
      <xdr:col>10</xdr:col>
      <xdr:colOff>138540</xdr:colOff>
      <xdr:row>178</xdr:row>
      <xdr:rowOff>33618</xdr:rowOff>
    </xdr:from>
    <xdr:to>
      <xdr:col>11</xdr:col>
      <xdr:colOff>2257375</xdr:colOff>
      <xdr:row>205</xdr:row>
      <xdr:rowOff>59765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8230" y="33992820"/>
          <a:ext cx="4906010" cy="48272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2860047</xdr:colOff>
      <xdr:row>44</xdr:row>
      <xdr:rowOff>20864</xdr:rowOff>
    </xdr:from>
    <xdr:to>
      <xdr:col>13</xdr:col>
      <xdr:colOff>2390022</xdr:colOff>
      <xdr:row>64</xdr:row>
      <xdr:rowOff>83508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8600" y="9977120"/>
          <a:ext cx="2389505" cy="3796665"/>
        </a:xfrm>
        <a:prstGeom prst="rect">
          <a:avLst/>
        </a:prstGeom>
      </xdr:spPr>
    </xdr:pic>
    <xdr:clientData/>
  </xdr:twoCellAnchor>
  <xdr:twoCellAnchor editAs="oneCell">
    <xdr:from>
      <xdr:col>12</xdr:col>
      <xdr:colOff>158751</xdr:colOff>
      <xdr:row>43</xdr:row>
      <xdr:rowOff>169562</xdr:rowOff>
    </xdr:from>
    <xdr:to>
      <xdr:col>12</xdr:col>
      <xdr:colOff>2451101</xdr:colOff>
      <xdr:row>64</xdr:row>
      <xdr:rowOff>5901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81300" y="9948545"/>
          <a:ext cx="2292350" cy="3747770"/>
        </a:xfrm>
        <a:prstGeom prst="rect">
          <a:avLst/>
        </a:prstGeom>
      </xdr:spPr>
    </xdr:pic>
    <xdr:clientData/>
  </xdr:twoCellAnchor>
  <xdr:twoCellAnchor editAs="oneCell">
    <xdr:from>
      <xdr:col>12</xdr:col>
      <xdr:colOff>19451</xdr:colOff>
      <xdr:row>73</xdr:row>
      <xdr:rowOff>67235</xdr:rowOff>
    </xdr:from>
    <xdr:to>
      <xdr:col>12</xdr:col>
      <xdr:colOff>2518777</xdr:colOff>
      <xdr:row>98</xdr:row>
      <xdr:rowOff>47256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41600" y="15357475"/>
          <a:ext cx="2499360" cy="442531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2858770</xdr:colOff>
      <xdr:row>76</xdr:row>
      <xdr:rowOff>107950</xdr:rowOff>
    </xdr:from>
    <xdr:to>
      <xdr:col>13</xdr:col>
      <xdr:colOff>2475380</xdr:colOff>
      <xdr:row>100</xdr:row>
      <xdr:rowOff>136995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08600" y="15932150"/>
          <a:ext cx="2475230" cy="4295775"/>
        </a:xfrm>
        <a:prstGeom prst="rect">
          <a:avLst/>
        </a:prstGeom>
      </xdr:spPr>
    </xdr:pic>
    <xdr:clientData/>
  </xdr:twoCellAnchor>
  <xdr:twoCellAnchor editAs="oneCell">
    <xdr:from>
      <xdr:col>13</xdr:col>
      <xdr:colOff>2525210</xdr:colOff>
      <xdr:row>75</xdr:row>
      <xdr:rowOff>97117</xdr:rowOff>
    </xdr:from>
    <xdr:to>
      <xdr:col>14</xdr:col>
      <xdr:colOff>2162376</xdr:colOff>
      <xdr:row>99</xdr:row>
      <xdr:rowOff>19393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33360" y="15742920"/>
          <a:ext cx="2348865" cy="4189730"/>
        </a:xfrm>
        <a:prstGeom prst="rect">
          <a:avLst/>
        </a:prstGeom>
      </xdr:spPr>
    </xdr:pic>
    <xdr:clientData/>
  </xdr:twoCellAnchor>
  <xdr:twoCellAnchor editAs="oneCell">
    <xdr:from>
      <xdr:col>14</xdr:col>
      <xdr:colOff>1861129</xdr:colOff>
      <xdr:row>75</xdr:row>
      <xdr:rowOff>156882</xdr:rowOff>
    </xdr:from>
    <xdr:to>
      <xdr:col>15</xdr:col>
      <xdr:colOff>1469294</xdr:colOff>
      <xdr:row>98</xdr:row>
      <xdr:rowOff>96102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80600" y="15803245"/>
          <a:ext cx="2319655" cy="4028440"/>
        </a:xfrm>
        <a:prstGeom prst="rect">
          <a:avLst/>
        </a:prstGeom>
      </xdr:spPr>
    </xdr:pic>
    <xdr:clientData/>
  </xdr:twoCellAnchor>
  <xdr:twoCellAnchor editAs="oneCell">
    <xdr:from>
      <xdr:col>15</xdr:col>
      <xdr:colOff>1341846</xdr:colOff>
      <xdr:row>75</xdr:row>
      <xdr:rowOff>41088</xdr:rowOff>
    </xdr:from>
    <xdr:to>
      <xdr:col>16</xdr:col>
      <xdr:colOff>1244061</xdr:colOff>
      <xdr:row>100</xdr:row>
      <xdr:rowOff>155391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73255" y="15687040"/>
          <a:ext cx="2613660" cy="455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"/>
  <sheetViews>
    <sheetView tabSelected="1" topLeftCell="A170" zoomScale="85" zoomScaleNormal="85" workbookViewId="0">
      <selection activeCell="H198" sqref="H198"/>
    </sheetView>
  </sheetViews>
  <sheetFormatPr defaultColWidth="41.08203125" defaultRowHeight="14" x14ac:dyDescent="0.3"/>
  <cols>
    <col min="1" max="1" width="5.08203125" style="7" customWidth="1"/>
    <col min="2" max="2" width="41.08203125" style="8" customWidth="1"/>
    <col min="3" max="3" width="6.33203125" style="8" customWidth="1"/>
    <col min="4" max="4" width="5.08203125" style="8" customWidth="1"/>
    <col min="5" max="5" width="6.25" style="8" customWidth="1"/>
    <col min="6" max="7" width="5.08203125" style="8" customWidth="1"/>
    <col min="8" max="8" width="8.25" style="8" customWidth="1"/>
    <col min="9" max="9" width="8.33203125" style="9" customWidth="1"/>
    <col min="10" max="10" width="38.08203125" style="8" customWidth="1"/>
    <col min="11" max="11" width="36.58203125" style="8" customWidth="1"/>
    <col min="12" max="12" width="35.5" style="8" customWidth="1"/>
    <col min="13" max="13" width="35.25" style="8" customWidth="1"/>
    <col min="14" max="32" width="35.58203125" style="8" customWidth="1"/>
    <col min="33" max="16384" width="41.08203125" style="8"/>
  </cols>
  <sheetData>
    <row r="1" spans="1:11" ht="70" x14ac:dyDescent="0.3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9" t="s">
        <v>8</v>
      </c>
      <c r="J1" s="8" t="s">
        <v>9</v>
      </c>
    </row>
    <row r="2" spans="1:11" ht="28" x14ac:dyDescent="0.3">
      <c r="A2" s="62">
        <v>1</v>
      </c>
      <c r="B2" s="38" t="s">
        <v>10</v>
      </c>
      <c r="C2" s="11"/>
      <c r="D2" s="11">
        <v>44</v>
      </c>
      <c r="E2" s="11">
        <v>16</v>
      </c>
      <c r="F2" s="11">
        <v>1</v>
      </c>
      <c r="G2" s="11">
        <v>1</v>
      </c>
      <c r="H2" s="11">
        <f>(D2-1)*2</f>
        <v>86</v>
      </c>
      <c r="I2" s="5" t="s">
        <v>11</v>
      </c>
      <c r="J2" s="17" t="s">
        <v>12</v>
      </c>
      <c r="K2" s="8" t="s">
        <v>13</v>
      </c>
    </row>
    <row r="3" spans="1:11" ht="28" x14ac:dyDescent="0.3">
      <c r="A3" s="63"/>
      <c r="B3" s="39"/>
      <c r="C3" s="11"/>
      <c r="D3" s="11"/>
      <c r="E3" s="11"/>
      <c r="F3" s="11"/>
      <c r="G3" s="11"/>
      <c r="H3" s="13">
        <v>89</v>
      </c>
      <c r="I3" s="5" t="s">
        <v>14</v>
      </c>
      <c r="J3" s="19" t="s">
        <v>15</v>
      </c>
      <c r="K3" s="20" t="s">
        <v>16</v>
      </c>
    </row>
    <row r="4" spans="1:11" ht="42" x14ac:dyDescent="0.3">
      <c r="A4" s="65">
        <v>2</v>
      </c>
      <c r="B4" s="37" t="s">
        <v>17</v>
      </c>
      <c r="C4" s="11"/>
      <c r="D4" s="11">
        <v>45</v>
      </c>
      <c r="E4" s="11">
        <v>16</v>
      </c>
      <c r="F4" s="11">
        <v>1</v>
      </c>
      <c r="G4" s="11">
        <v>1</v>
      </c>
      <c r="H4" s="15">
        <f t="shared" ref="H4:H175" si="0">(D4-1)*2</f>
        <v>88</v>
      </c>
      <c r="I4" s="5" t="s">
        <v>11</v>
      </c>
      <c r="J4" s="17" t="s">
        <v>18</v>
      </c>
      <c r="K4" s="8" t="s">
        <v>19</v>
      </c>
    </row>
    <row r="5" spans="1:11" x14ac:dyDescent="0.3">
      <c r="A5" s="65"/>
      <c r="B5" s="37"/>
      <c r="C5" s="11"/>
      <c r="D5" s="11"/>
      <c r="E5" s="11"/>
      <c r="F5" s="11"/>
      <c r="G5" s="11"/>
      <c r="H5" s="13">
        <v>91</v>
      </c>
      <c r="I5" s="5" t="s">
        <v>14</v>
      </c>
      <c r="J5" s="19" t="s">
        <v>20</v>
      </c>
      <c r="K5" s="20" t="s">
        <v>16</v>
      </c>
    </row>
    <row r="6" spans="1:11" x14ac:dyDescent="0.3">
      <c r="A6" s="65">
        <v>3</v>
      </c>
      <c r="B6" s="37" t="s">
        <v>21</v>
      </c>
      <c r="C6" s="11"/>
      <c r="D6" s="11">
        <v>51</v>
      </c>
      <c r="E6" s="11">
        <v>16</v>
      </c>
      <c r="F6" s="11">
        <v>1</v>
      </c>
      <c r="G6" s="11">
        <v>1</v>
      </c>
      <c r="H6" s="15">
        <f t="shared" si="0"/>
        <v>100</v>
      </c>
      <c r="I6" s="5" t="s">
        <v>11</v>
      </c>
      <c r="J6" s="17" t="s">
        <v>22</v>
      </c>
      <c r="K6" s="8" t="s">
        <v>23</v>
      </c>
    </row>
    <row r="7" spans="1:11" ht="28" x14ac:dyDescent="0.3">
      <c r="A7" s="65"/>
      <c r="B7" s="37"/>
      <c r="C7" s="11"/>
      <c r="D7" s="11"/>
      <c r="E7" s="11"/>
      <c r="F7" s="11"/>
      <c r="G7" s="11"/>
      <c r="H7" s="13">
        <v>103</v>
      </c>
      <c r="I7" s="5" t="s">
        <v>14</v>
      </c>
      <c r="J7" s="19" t="s">
        <v>24</v>
      </c>
      <c r="K7" s="20" t="s">
        <v>16</v>
      </c>
    </row>
    <row r="8" spans="1:11" x14ac:dyDescent="0.3">
      <c r="A8" s="62">
        <v>4</v>
      </c>
      <c r="B8" s="38" t="s">
        <v>25</v>
      </c>
      <c r="C8" s="11"/>
      <c r="D8" s="11">
        <v>159</v>
      </c>
      <c r="E8" s="11">
        <v>16</v>
      </c>
      <c r="F8" s="11">
        <v>1</v>
      </c>
      <c r="G8" s="11">
        <v>1</v>
      </c>
      <c r="H8" s="15">
        <f>(D8-1)*2</f>
        <v>316</v>
      </c>
      <c r="I8" s="5" t="s">
        <v>11</v>
      </c>
      <c r="J8" s="21" t="s">
        <v>26</v>
      </c>
    </row>
    <row r="9" spans="1:11" x14ac:dyDescent="0.3">
      <c r="A9" s="63"/>
      <c r="B9" s="39"/>
      <c r="C9" s="11"/>
      <c r="D9" s="11"/>
      <c r="E9" s="11"/>
      <c r="F9" s="11"/>
      <c r="G9" s="11"/>
      <c r="H9" s="13">
        <v>319</v>
      </c>
      <c r="I9" s="5" t="s">
        <v>14</v>
      </c>
      <c r="J9" s="22" t="s">
        <v>27</v>
      </c>
      <c r="K9" s="20" t="s">
        <v>16</v>
      </c>
    </row>
    <row r="10" spans="1:11" x14ac:dyDescent="0.3">
      <c r="A10" s="62">
        <v>5</v>
      </c>
      <c r="B10" s="38" t="s">
        <v>28</v>
      </c>
      <c r="C10" s="11"/>
      <c r="D10" s="11">
        <v>52</v>
      </c>
      <c r="E10" s="11">
        <v>16</v>
      </c>
      <c r="F10" s="11">
        <v>1</v>
      </c>
      <c r="G10" s="11">
        <v>1</v>
      </c>
      <c r="H10" s="11">
        <f t="shared" si="0"/>
        <v>102</v>
      </c>
      <c r="I10" s="5" t="s">
        <v>11</v>
      </c>
      <c r="J10" s="17" t="s">
        <v>29</v>
      </c>
    </row>
    <row r="11" spans="1:11" x14ac:dyDescent="0.3">
      <c r="A11" s="63"/>
      <c r="B11" s="39"/>
      <c r="C11" s="11"/>
      <c r="D11" s="11"/>
      <c r="E11" s="11"/>
      <c r="F11" s="11"/>
      <c r="G11" s="11"/>
      <c r="H11" s="16">
        <v>105</v>
      </c>
      <c r="I11" s="5" t="s">
        <v>14</v>
      </c>
      <c r="J11" s="22" t="s">
        <v>27</v>
      </c>
      <c r="K11" s="20" t="s">
        <v>16</v>
      </c>
    </row>
    <row r="12" spans="1:11" x14ac:dyDescent="0.3">
      <c r="A12" s="62">
        <v>6</v>
      </c>
      <c r="B12" s="38" t="s">
        <v>30</v>
      </c>
      <c r="C12" s="11" t="s">
        <v>31</v>
      </c>
      <c r="D12" s="11">
        <v>63</v>
      </c>
      <c r="E12" s="11">
        <v>16</v>
      </c>
      <c r="F12" s="11">
        <v>0.1</v>
      </c>
      <c r="G12" s="11">
        <v>1</v>
      </c>
      <c r="H12" s="11">
        <f t="shared" si="0"/>
        <v>124</v>
      </c>
      <c r="I12" s="5" t="s">
        <v>11</v>
      </c>
      <c r="J12" s="8" t="s">
        <v>32</v>
      </c>
    </row>
    <row r="13" spans="1:11" x14ac:dyDescent="0.3">
      <c r="A13" s="63"/>
      <c r="B13" s="39"/>
      <c r="C13" s="11"/>
      <c r="D13" s="11"/>
      <c r="E13" s="11"/>
      <c r="F13" s="11"/>
      <c r="G13" s="11"/>
      <c r="H13" s="16">
        <v>126</v>
      </c>
      <c r="I13" s="5" t="s">
        <v>33</v>
      </c>
      <c r="J13" s="17" t="s">
        <v>34</v>
      </c>
      <c r="K13" s="23" t="s">
        <v>35</v>
      </c>
    </row>
    <row r="14" spans="1:11" x14ac:dyDescent="0.3">
      <c r="A14" s="62">
        <v>7</v>
      </c>
      <c r="B14" s="38" t="s">
        <v>36</v>
      </c>
      <c r="C14" s="11" t="s">
        <v>31</v>
      </c>
      <c r="D14" s="11">
        <v>64</v>
      </c>
      <c r="E14" s="11">
        <v>16</v>
      </c>
      <c r="F14" s="11">
        <v>0.1</v>
      </c>
      <c r="G14" s="11">
        <v>1</v>
      </c>
      <c r="H14" s="11">
        <f t="shared" si="0"/>
        <v>126</v>
      </c>
      <c r="I14" s="5" t="s">
        <v>11</v>
      </c>
      <c r="J14" s="17" t="s">
        <v>34</v>
      </c>
      <c r="K14" s="23" t="s">
        <v>35</v>
      </c>
    </row>
    <row r="15" spans="1:11" x14ac:dyDescent="0.3">
      <c r="A15" s="63"/>
      <c r="B15" s="39"/>
      <c r="C15" s="11"/>
      <c r="D15" s="11"/>
      <c r="E15" s="11"/>
      <c r="F15" s="11"/>
      <c r="G15" s="11"/>
      <c r="H15" s="16">
        <v>128</v>
      </c>
      <c r="I15" s="5" t="s">
        <v>33</v>
      </c>
      <c r="J15" s="17" t="s">
        <v>34</v>
      </c>
    </row>
    <row r="16" spans="1:11" x14ac:dyDescent="0.3">
      <c r="A16" s="62">
        <v>8</v>
      </c>
      <c r="B16" s="38" t="s">
        <v>37</v>
      </c>
      <c r="C16" s="17" t="s">
        <v>38</v>
      </c>
      <c r="D16" s="11">
        <v>66</v>
      </c>
      <c r="E16" s="11">
        <v>16</v>
      </c>
      <c r="F16" s="11">
        <v>0.1</v>
      </c>
      <c r="G16" s="11">
        <v>1</v>
      </c>
      <c r="H16" s="11">
        <f t="shared" si="0"/>
        <v>130</v>
      </c>
      <c r="I16" s="5" t="s">
        <v>11</v>
      </c>
    </row>
    <row r="17" spans="1:13" x14ac:dyDescent="0.3">
      <c r="A17" s="64"/>
      <c r="B17" s="39"/>
      <c r="E17" s="11"/>
      <c r="F17" s="11"/>
      <c r="G17" s="11"/>
      <c r="H17" s="16">
        <v>132</v>
      </c>
      <c r="I17" s="5" t="s">
        <v>33</v>
      </c>
      <c r="J17" s="17" t="s">
        <v>34</v>
      </c>
      <c r="K17" s="8" t="s">
        <v>39</v>
      </c>
      <c r="L17" s="8" t="s">
        <v>40</v>
      </c>
    </row>
    <row r="18" spans="1:13" x14ac:dyDescent="0.3">
      <c r="A18" s="64"/>
      <c r="B18" s="38" t="s">
        <v>41</v>
      </c>
      <c r="C18" s="17" t="s">
        <v>38</v>
      </c>
      <c r="D18" s="11">
        <v>180</v>
      </c>
      <c r="E18" s="11"/>
      <c r="F18" s="11">
        <v>0.1</v>
      </c>
      <c r="G18" s="11"/>
      <c r="H18" s="11">
        <f t="shared" si="0"/>
        <v>358</v>
      </c>
      <c r="I18" s="5" t="s">
        <v>11</v>
      </c>
    </row>
    <row r="19" spans="1:13" x14ac:dyDescent="0.3">
      <c r="A19" s="63"/>
      <c r="B19" s="39"/>
      <c r="C19" s="17"/>
      <c r="D19" s="11"/>
      <c r="E19" s="11"/>
      <c r="G19" s="11"/>
      <c r="H19" s="16">
        <v>360</v>
      </c>
      <c r="I19" s="5" t="s">
        <v>33</v>
      </c>
      <c r="J19" s="17" t="s">
        <v>34</v>
      </c>
      <c r="K19" s="8" t="s">
        <v>42</v>
      </c>
      <c r="L19" s="8" t="s">
        <v>43</v>
      </c>
    </row>
    <row r="20" spans="1:13" x14ac:dyDescent="0.3">
      <c r="A20" s="62">
        <v>9</v>
      </c>
      <c r="B20" s="38" t="s">
        <v>44</v>
      </c>
      <c r="C20" s="11" t="s">
        <v>45</v>
      </c>
      <c r="D20" s="11">
        <v>250</v>
      </c>
      <c r="E20" s="11">
        <v>16</v>
      </c>
      <c r="F20" s="11">
        <v>1</v>
      </c>
      <c r="G20" s="11">
        <v>1</v>
      </c>
      <c r="H20" s="11">
        <f t="shared" si="0"/>
        <v>498</v>
      </c>
      <c r="I20" s="5" t="s">
        <v>46</v>
      </c>
    </row>
    <row r="21" spans="1:13" x14ac:dyDescent="0.3">
      <c r="A21" s="63"/>
      <c r="B21" s="39"/>
      <c r="C21" s="11"/>
      <c r="D21" s="11"/>
      <c r="E21" s="11"/>
      <c r="F21" s="11"/>
      <c r="G21" s="11"/>
      <c r="H21" s="16">
        <v>500</v>
      </c>
      <c r="I21" s="5" t="s">
        <v>33</v>
      </c>
      <c r="J21" s="17" t="s">
        <v>34</v>
      </c>
    </row>
    <row r="22" spans="1:13" x14ac:dyDescent="0.3">
      <c r="A22" s="62">
        <v>10</v>
      </c>
      <c r="B22" s="38" t="s">
        <v>47</v>
      </c>
      <c r="C22" s="11" t="s">
        <v>48</v>
      </c>
      <c r="D22" s="11">
        <v>254</v>
      </c>
      <c r="E22" s="11">
        <v>16</v>
      </c>
      <c r="F22" s="11">
        <v>1</v>
      </c>
      <c r="G22" s="11">
        <v>1</v>
      </c>
      <c r="H22" s="11">
        <f t="shared" si="0"/>
        <v>506</v>
      </c>
      <c r="I22" s="5" t="s">
        <v>46</v>
      </c>
    </row>
    <row r="23" spans="1:13" x14ac:dyDescent="0.3">
      <c r="A23" s="63"/>
      <c r="B23" s="39"/>
      <c r="C23" s="11"/>
      <c r="D23" s="11"/>
      <c r="E23" s="11"/>
      <c r="F23" s="11"/>
      <c r="G23" s="11"/>
      <c r="H23" s="16">
        <v>508</v>
      </c>
      <c r="I23" s="5" t="s">
        <v>33</v>
      </c>
    </row>
    <row r="24" spans="1:13" x14ac:dyDescent="0.3">
      <c r="A24" s="62">
        <v>11</v>
      </c>
      <c r="B24" s="40" t="s">
        <v>49</v>
      </c>
      <c r="C24" s="11"/>
      <c r="D24" s="11">
        <v>265</v>
      </c>
      <c r="E24" s="11"/>
      <c r="F24" s="11"/>
      <c r="G24" s="11"/>
      <c r="H24" s="11">
        <f t="shared" si="0"/>
        <v>528</v>
      </c>
      <c r="I24" s="5"/>
      <c r="J24" s="8" t="s">
        <v>50</v>
      </c>
    </row>
    <row r="25" spans="1:13" x14ac:dyDescent="0.3">
      <c r="A25" s="63"/>
      <c r="B25" s="41"/>
      <c r="C25" s="11"/>
      <c r="D25" s="11"/>
      <c r="E25" s="11"/>
      <c r="F25" s="11"/>
      <c r="G25" s="11"/>
      <c r="H25" s="16">
        <v>530</v>
      </c>
      <c r="I25" s="5" t="s">
        <v>33</v>
      </c>
      <c r="J25" s="8" t="s">
        <v>51</v>
      </c>
    </row>
    <row r="26" spans="1:13" x14ac:dyDescent="0.3">
      <c r="A26" s="62">
        <v>12</v>
      </c>
      <c r="B26" s="49" t="s">
        <v>52</v>
      </c>
      <c r="C26" s="11" t="s">
        <v>53</v>
      </c>
      <c r="D26" s="11">
        <v>248</v>
      </c>
      <c r="E26" s="11">
        <v>16</v>
      </c>
      <c r="F26" s="11">
        <v>1</v>
      </c>
      <c r="G26" s="11">
        <v>0</v>
      </c>
      <c r="H26" s="11">
        <f t="shared" si="0"/>
        <v>494</v>
      </c>
      <c r="I26" s="5"/>
      <c r="J26" s="8" t="s">
        <v>54</v>
      </c>
    </row>
    <row r="27" spans="1:13" x14ac:dyDescent="0.3">
      <c r="A27" s="63"/>
      <c r="B27" s="50"/>
      <c r="C27" s="11"/>
      <c r="D27" s="11"/>
      <c r="E27" s="11"/>
      <c r="F27" s="11"/>
      <c r="G27" s="11"/>
      <c r="H27" s="16">
        <v>496</v>
      </c>
      <c r="I27" s="5" t="s">
        <v>33</v>
      </c>
      <c r="J27" s="23"/>
    </row>
    <row r="28" spans="1:13" x14ac:dyDescent="0.3">
      <c r="A28" s="62">
        <v>13</v>
      </c>
      <c r="B28" s="38" t="s">
        <v>55</v>
      </c>
      <c r="C28" s="11" t="s">
        <v>56</v>
      </c>
      <c r="D28" s="11">
        <v>232</v>
      </c>
      <c r="E28" s="11">
        <v>32</v>
      </c>
      <c r="F28" s="11">
        <v>1</v>
      </c>
      <c r="G28" s="11">
        <v>0</v>
      </c>
      <c r="H28" s="11">
        <f t="shared" si="0"/>
        <v>462</v>
      </c>
      <c r="I28" s="5" t="s">
        <v>11</v>
      </c>
      <c r="J28" s="8" t="s">
        <v>57</v>
      </c>
    </row>
    <row r="29" spans="1:13" ht="42" x14ac:dyDescent="0.3">
      <c r="A29" s="64"/>
      <c r="B29" s="51"/>
      <c r="C29" s="11"/>
      <c r="D29" s="11"/>
      <c r="E29" s="11"/>
      <c r="F29" s="11"/>
      <c r="G29" s="11"/>
      <c r="H29" s="16">
        <v>464</v>
      </c>
      <c r="I29" s="5" t="s">
        <v>58</v>
      </c>
      <c r="J29" s="5"/>
      <c r="K29" s="8" t="s">
        <v>59</v>
      </c>
      <c r="L29" s="8" t="s">
        <v>60</v>
      </c>
      <c r="M29" s="8" t="s">
        <v>61</v>
      </c>
    </row>
    <row r="30" spans="1:13" x14ac:dyDescent="0.3">
      <c r="A30" s="64"/>
      <c r="B30" s="51"/>
      <c r="C30" s="11"/>
      <c r="D30" s="11"/>
      <c r="E30" s="11"/>
      <c r="F30" s="11"/>
      <c r="G30" s="11"/>
      <c r="H30" s="16">
        <v>465</v>
      </c>
      <c r="I30" s="5" t="s">
        <v>58</v>
      </c>
      <c r="J30" s="24"/>
    </row>
    <row r="31" spans="1:13" x14ac:dyDescent="0.3">
      <c r="A31" s="64"/>
      <c r="B31" s="51"/>
      <c r="C31" s="11"/>
      <c r="D31" s="11"/>
      <c r="E31" s="11"/>
      <c r="F31" s="11"/>
      <c r="G31" s="11"/>
      <c r="H31" s="16">
        <v>466</v>
      </c>
      <c r="I31" s="5" t="s">
        <v>58</v>
      </c>
      <c r="J31" s="24"/>
    </row>
    <row r="32" spans="1:13" x14ac:dyDescent="0.3">
      <c r="A32" s="64"/>
      <c r="B32" s="51"/>
      <c r="C32" s="11"/>
      <c r="D32" s="11"/>
      <c r="E32" s="11"/>
      <c r="F32" s="11"/>
      <c r="G32" s="11"/>
      <c r="H32" s="16">
        <v>467</v>
      </c>
      <c r="I32" s="5" t="s">
        <v>58</v>
      </c>
      <c r="J32" s="24"/>
    </row>
    <row r="33" spans="1:11" x14ac:dyDescent="0.3">
      <c r="A33" s="62">
        <v>14</v>
      </c>
      <c r="B33" s="38" t="s">
        <v>62</v>
      </c>
      <c r="C33" s="11" t="s">
        <v>63</v>
      </c>
      <c r="D33" s="11">
        <v>222</v>
      </c>
      <c r="E33" s="11">
        <v>16</v>
      </c>
      <c r="F33" s="11">
        <v>1</v>
      </c>
      <c r="G33" s="11">
        <v>0</v>
      </c>
      <c r="H33" s="11">
        <f t="shared" si="0"/>
        <v>442</v>
      </c>
      <c r="I33" s="5" t="s">
        <v>46</v>
      </c>
    </row>
    <row r="34" spans="1:11" x14ac:dyDescent="0.3">
      <c r="A34" s="63"/>
      <c r="B34" s="39"/>
      <c r="C34" s="11"/>
      <c r="D34" s="11"/>
      <c r="E34" s="11"/>
      <c r="F34" s="11"/>
      <c r="G34" s="11"/>
      <c r="H34" s="16">
        <v>444</v>
      </c>
      <c r="I34" s="5" t="s">
        <v>33</v>
      </c>
    </row>
    <row r="35" spans="1:11" x14ac:dyDescent="0.3">
      <c r="A35" s="62">
        <v>15</v>
      </c>
      <c r="B35" s="38" t="s">
        <v>64</v>
      </c>
      <c r="C35" s="11" t="s">
        <v>63</v>
      </c>
      <c r="D35" s="11">
        <v>225</v>
      </c>
      <c r="E35" s="11">
        <v>16</v>
      </c>
      <c r="F35" s="11">
        <v>1</v>
      </c>
      <c r="G35" s="11">
        <v>0</v>
      </c>
      <c r="H35" s="11">
        <f t="shared" si="0"/>
        <v>448</v>
      </c>
      <c r="I35" s="5" t="s">
        <v>46</v>
      </c>
    </row>
    <row r="36" spans="1:11" x14ac:dyDescent="0.3">
      <c r="A36" s="63"/>
      <c r="B36" s="39"/>
      <c r="C36" s="11"/>
      <c r="D36" s="11"/>
      <c r="E36" s="11"/>
      <c r="F36" s="11"/>
      <c r="G36" s="11"/>
      <c r="H36" s="16">
        <v>450</v>
      </c>
      <c r="I36" s="5" t="s">
        <v>33</v>
      </c>
    </row>
    <row r="37" spans="1:11" ht="28" x14ac:dyDescent="0.3">
      <c r="A37" s="62">
        <v>16</v>
      </c>
      <c r="B37" s="38" t="s">
        <v>65</v>
      </c>
      <c r="C37" s="11" t="s">
        <v>66</v>
      </c>
      <c r="D37" s="11">
        <v>46</v>
      </c>
      <c r="E37" s="11">
        <v>16</v>
      </c>
      <c r="F37" s="11">
        <v>1</v>
      </c>
      <c r="G37" s="11">
        <v>0</v>
      </c>
      <c r="H37" s="11">
        <f t="shared" si="0"/>
        <v>90</v>
      </c>
      <c r="I37" s="5" t="s">
        <v>11</v>
      </c>
      <c r="J37" s="8" t="s">
        <v>67</v>
      </c>
    </row>
    <row r="38" spans="1:11" x14ac:dyDescent="0.3">
      <c r="A38" s="63"/>
      <c r="B38" s="39"/>
      <c r="C38" s="11"/>
      <c r="D38" s="11"/>
      <c r="E38" s="11"/>
      <c r="F38" s="11"/>
      <c r="G38" s="11"/>
      <c r="H38" s="16">
        <v>93</v>
      </c>
      <c r="I38" s="5" t="s">
        <v>14</v>
      </c>
      <c r="J38" s="23" t="s">
        <v>68</v>
      </c>
      <c r="K38" s="20" t="s">
        <v>16</v>
      </c>
    </row>
    <row r="39" spans="1:11" x14ac:dyDescent="0.3">
      <c r="A39" s="62">
        <v>17</v>
      </c>
      <c r="B39" s="38" t="s">
        <v>69</v>
      </c>
      <c r="C39" s="11" t="s">
        <v>70</v>
      </c>
      <c r="D39" s="11">
        <v>181</v>
      </c>
      <c r="E39" s="11">
        <v>16</v>
      </c>
      <c r="F39" s="11">
        <v>1</v>
      </c>
      <c r="G39" s="11">
        <v>0</v>
      </c>
      <c r="H39" s="11">
        <f t="shared" si="0"/>
        <v>360</v>
      </c>
      <c r="I39" s="5" t="s">
        <v>11</v>
      </c>
    </row>
    <row r="40" spans="1:11" x14ac:dyDescent="0.3">
      <c r="A40" s="63"/>
      <c r="B40" s="39"/>
      <c r="C40" s="11"/>
      <c r="D40" s="11"/>
      <c r="E40" s="11"/>
      <c r="F40" s="11"/>
      <c r="G40" s="11"/>
      <c r="H40" s="16">
        <v>362</v>
      </c>
      <c r="I40" s="5" t="s">
        <v>33</v>
      </c>
      <c r="J40" s="8" t="s">
        <v>34</v>
      </c>
    </row>
    <row r="41" spans="1:11" x14ac:dyDescent="0.3">
      <c r="A41" s="62">
        <v>18</v>
      </c>
      <c r="B41" s="38" t="s">
        <v>71</v>
      </c>
      <c r="C41" s="11" t="s">
        <v>66</v>
      </c>
      <c r="D41" s="11">
        <v>179</v>
      </c>
      <c r="E41" s="11">
        <v>16</v>
      </c>
      <c r="F41" s="11">
        <v>1</v>
      </c>
      <c r="G41" s="11">
        <v>1</v>
      </c>
      <c r="H41" s="11">
        <f t="shared" si="0"/>
        <v>356</v>
      </c>
      <c r="I41" s="5" t="s">
        <v>11</v>
      </c>
    </row>
    <row r="42" spans="1:11" x14ac:dyDescent="0.3">
      <c r="A42" s="63"/>
      <c r="B42" s="39"/>
      <c r="C42" s="11"/>
      <c r="D42" s="11"/>
      <c r="E42" s="11"/>
      <c r="F42" s="11"/>
      <c r="G42" s="11"/>
      <c r="H42" s="16">
        <v>359</v>
      </c>
      <c r="I42" s="5" t="s">
        <v>14</v>
      </c>
      <c r="J42" s="8" t="s">
        <v>68</v>
      </c>
    </row>
    <row r="43" spans="1:11" x14ac:dyDescent="0.3">
      <c r="A43" s="62">
        <v>19</v>
      </c>
      <c r="B43" s="42" t="s">
        <v>72</v>
      </c>
      <c r="C43" s="11" t="s">
        <v>73</v>
      </c>
      <c r="D43" s="11">
        <v>163</v>
      </c>
      <c r="E43" s="11"/>
      <c r="F43" s="11"/>
      <c r="G43" s="11"/>
      <c r="H43" s="5">
        <f t="shared" si="0"/>
        <v>324</v>
      </c>
      <c r="I43" s="5" t="s">
        <v>11</v>
      </c>
      <c r="K43" s="8" t="s">
        <v>74</v>
      </c>
    </row>
    <row r="44" spans="1:11" x14ac:dyDescent="0.3">
      <c r="A44" s="63"/>
      <c r="B44" s="43"/>
      <c r="C44" s="11"/>
      <c r="D44" s="11"/>
      <c r="E44" s="11"/>
      <c r="F44" s="11"/>
      <c r="G44" s="11"/>
      <c r="H44" s="16">
        <v>326</v>
      </c>
      <c r="I44" s="5" t="s">
        <v>33</v>
      </c>
      <c r="J44" s="23" t="s">
        <v>34</v>
      </c>
      <c r="K44" s="20" t="s">
        <v>16</v>
      </c>
    </row>
    <row r="45" spans="1:11" x14ac:dyDescent="0.3">
      <c r="A45" s="62">
        <v>20</v>
      </c>
      <c r="B45" s="46" t="s">
        <v>75</v>
      </c>
      <c r="C45" s="11" t="s">
        <v>73</v>
      </c>
      <c r="D45" s="11">
        <v>211</v>
      </c>
      <c r="E45" s="11">
        <v>16</v>
      </c>
      <c r="F45" s="11">
        <v>1</v>
      </c>
      <c r="G45" s="11">
        <v>1</v>
      </c>
      <c r="H45" s="11">
        <f t="shared" si="0"/>
        <v>420</v>
      </c>
      <c r="I45" s="5" t="s">
        <v>11</v>
      </c>
    </row>
    <row r="46" spans="1:11" x14ac:dyDescent="0.3">
      <c r="A46" s="63"/>
      <c r="B46" s="47"/>
      <c r="C46" s="11"/>
      <c r="D46" s="11"/>
      <c r="E46" s="11"/>
      <c r="F46" s="11"/>
      <c r="G46" s="11"/>
      <c r="H46" s="16">
        <v>422</v>
      </c>
      <c r="I46" s="5" t="s">
        <v>33</v>
      </c>
      <c r="J46" s="8" t="s">
        <v>34</v>
      </c>
      <c r="K46" s="20" t="s">
        <v>16</v>
      </c>
    </row>
    <row r="47" spans="1:11" ht="28" x14ac:dyDescent="0.3">
      <c r="A47" s="62">
        <v>21</v>
      </c>
      <c r="B47" s="44" t="s">
        <v>76</v>
      </c>
      <c r="C47" s="11"/>
      <c r="D47" s="11">
        <v>161</v>
      </c>
      <c r="E47" s="11"/>
      <c r="F47" s="11"/>
      <c r="G47" s="11"/>
      <c r="H47" s="11">
        <f t="shared" si="0"/>
        <v>320</v>
      </c>
      <c r="I47" s="5" t="s">
        <v>46</v>
      </c>
      <c r="J47" s="8" t="s">
        <v>77</v>
      </c>
      <c r="K47" s="20" t="s">
        <v>16</v>
      </c>
    </row>
    <row r="48" spans="1:11" x14ac:dyDescent="0.3">
      <c r="A48" s="63"/>
      <c r="B48" s="45"/>
      <c r="C48" s="11"/>
      <c r="D48" s="11"/>
      <c r="E48" s="11"/>
      <c r="F48" s="11"/>
      <c r="G48" s="11"/>
      <c r="H48" s="18">
        <v>322</v>
      </c>
      <c r="I48" s="25" t="s">
        <v>33</v>
      </c>
    </row>
    <row r="49" spans="1:11" x14ac:dyDescent="0.3">
      <c r="A49" s="62">
        <v>22</v>
      </c>
      <c r="B49" s="38" t="s">
        <v>78</v>
      </c>
      <c r="C49" s="11" t="s">
        <v>31</v>
      </c>
      <c r="D49" s="11">
        <v>175</v>
      </c>
      <c r="E49" s="11">
        <v>16</v>
      </c>
      <c r="F49" s="11">
        <v>0.1</v>
      </c>
      <c r="G49" s="11">
        <v>1</v>
      </c>
      <c r="H49" s="11">
        <f t="shared" si="0"/>
        <v>348</v>
      </c>
      <c r="I49" s="5" t="s">
        <v>46</v>
      </c>
    </row>
    <row r="50" spans="1:11" x14ac:dyDescent="0.3">
      <c r="A50" s="63"/>
      <c r="B50" s="39"/>
      <c r="C50" s="11"/>
      <c r="D50" s="11"/>
      <c r="E50" s="11"/>
      <c r="F50" s="11"/>
      <c r="G50" s="11"/>
      <c r="H50" s="16">
        <v>350</v>
      </c>
      <c r="I50" s="5" t="s">
        <v>33</v>
      </c>
    </row>
    <row r="51" spans="1:11" x14ac:dyDescent="0.3">
      <c r="A51" s="62">
        <v>23</v>
      </c>
      <c r="B51" s="38" t="s">
        <v>79</v>
      </c>
      <c r="C51" s="11" t="s">
        <v>31</v>
      </c>
      <c r="D51" s="11">
        <v>184</v>
      </c>
      <c r="E51" s="11">
        <v>16</v>
      </c>
      <c r="F51" s="11">
        <v>0.1</v>
      </c>
      <c r="G51" s="11">
        <v>1</v>
      </c>
      <c r="H51" s="11">
        <f t="shared" si="0"/>
        <v>366</v>
      </c>
      <c r="I51" s="5" t="s">
        <v>46</v>
      </c>
    </row>
    <row r="52" spans="1:11" x14ac:dyDescent="0.3">
      <c r="A52" s="63"/>
      <c r="B52" s="39"/>
      <c r="C52" s="11"/>
      <c r="D52" s="11"/>
      <c r="E52" s="11"/>
      <c r="F52" s="11"/>
      <c r="G52" s="11"/>
      <c r="H52" s="16">
        <v>368</v>
      </c>
      <c r="I52" s="5" t="s">
        <v>33</v>
      </c>
    </row>
    <row r="53" spans="1:11" x14ac:dyDescent="0.3">
      <c r="A53" s="62">
        <v>24</v>
      </c>
      <c r="B53" s="38" t="s">
        <v>80</v>
      </c>
      <c r="C53" s="11" t="s">
        <v>31</v>
      </c>
      <c r="D53" s="11">
        <v>186</v>
      </c>
      <c r="E53" s="11">
        <v>16</v>
      </c>
      <c r="F53" s="11">
        <v>0.1</v>
      </c>
      <c r="G53" s="11">
        <v>1</v>
      </c>
      <c r="H53" s="11">
        <f t="shared" si="0"/>
        <v>370</v>
      </c>
      <c r="I53" s="5" t="s">
        <v>46</v>
      </c>
    </row>
    <row r="54" spans="1:11" x14ac:dyDescent="0.3">
      <c r="A54" s="63"/>
      <c r="B54" s="39"/>
      <c r="C54" s="11"/>
      <c r="D54" s="11"/>
      <c r="E54" s="11"/>
      <c r="F54" s="11"/>
      <c r="G54" s="11"/>
      <c r="H54" s="16">
        <v>372</v>
      </c>
      <c r="I54" s="5" t="s">
        <v>33</v>
      </c>
    </row>
    <row r="55" spans="1:11" x14ac:dyDescent="0.3">
      <c r="A55" s="62">
        <v>25</v>
      </c>
      <c r="B55" s="38" t="s">
        <v>81</v>
      </c>
      <c r="C55" s="11" t="s">
        <v>31</v>
      </c>
      <c r="D55" s="11">
        <v>189</v>
      </c>
      <c r="E55" s="11">
        <v>16</v>
      </c>
      <c r="F55" s="11">
        <v>0.1</v>
      </c>
      <c r="G55" s="11">
        <v>1</v>
      </c>
      <c r="H55" s="11">
        <f t="shared" si="0"/>
        <v>376</v>
      </c>
      <c r="I55" s="5" t="s">
        <v>46</v>
      </c>
    </row>
    <row r="56" spans="1:11" x14ac:dyDescent="0.3">
      <c r="A56" s="63"/>
      <c r="B56" s="39"/>
      <c r="C56" s="11"/>
      <c r="D56" s="11"/>
      <c r="E56" s="11"/>
      <c r="F56" s="11"/>
      <c r="G56" s="11"/>
      <c r="H56" s="16">
        <v>378</v>
      </c>
      <c r="I56" s="5" t="s">
        <v>33</v>
      </c>
    </row>
    <row r="57" spans="1:11" x14ac:dyDescent="0.3">
      <c r="A57" s="62">
        <v>26</v>
      </c>
      <c r="B57" s="42" t="s">
        <v>82</v>
      </c>
      <c r="C57" s="11" t="s">
        <v>31</v>
      </c>
      <c r="D57" s="11">
        <v>190</v>
      </c>
      <c r="E57" s="11">
        <v>16</v>
      </c>
      <c r="F57" s="11">
        <v>0.1</v>
      </c>
      <c r="G57" s="11">
        <v>1</v>
      </c>
      <c r="H57" s="11">
        <f t="shared" si="0"/>
        <v>378</v>
      </c>
      <c r="I57" s="5" t="s">
        <v>11</v>
      </c>
    </row>
    <row r="58" spans="1:11" x14ac:dyDescent="0.3">
      <c r="A58" s="63"/>
      <c r="B58" s="43"/>
      <c r="C58" s="11"/>
      <c r="D58" s="11"/>
      <c r="E58" s="11"/>
      <c r="F58" s="11"/>
      <c r="G58" s="11"/>
      <c r="H58" s="16">
        <v>380</v>
      </c>
      <c r="I58" s="5" t="s">
        <v>33</v>
      </c>
    </row>
    <row r="59" spans="1:11" x14ac:dyDescent="0.3">
      <c r="A59" s="62">
        <v>27</v>
      </c>
      <c r="B59" s="38" t="s">
        <v>83</v>
      </c>
      <c r="C59" s="11" t="s">
        <v>38</v>
      </c>
      <c r="D59" s="11">
        <v>157</v>
      </c>
      <c r="E59" s="11">
        <v>16</v>
      </c>
      <c r="F59" s="11">
        <v>1</v>
      </c>
      <c r="G59" s="11">
        <v>1</v>
      </c>
      <c r="H59" s="11">
        <f t="shared" si="0"/>
        <v>312</v>
      </c>
      <c r="I59" s="5" t="s">
        <v>46</v>
      </c>
    </row>
    <row r="60" spans="1:11" x14ac:dyDescent="0.3">
      <c r="A60" s="63"/>
      <c r="B60" s="39"/>
      <c r="C60" s="11"/>
      <c r="D60" s="11"/>
      <c r="E60" s="11"/>
      <c r="F60" s="11"/>
      <c r="G60" s="11"/>
      <c r="H60" s="16">
        <v>314</v>
      </c>
      <c r="I60" s="5" t="s">
        <v>33</v>
      </c>
    </row>
    <row r="61" spans="1:11" x14ac:dyDescent="0.3">
      <c r="A61" s="62">
        <v>28</v>
      </c>
      <c r="B61" s="38" t="s">
        <v>84</v>
      </c>
      <c r="C61" s="11" t="s">
        <v>38</v>
      </c>
      <c r="D61" s="11">
        <v>158</v>
      </c>
      <c r="E61" s="11">
        <v>16</v>
      </c>
      <c r="F61" s="11">
        <v>1</v>
      </c>
      <c r="G61" s="11">
        <v>1</v>
      </c>
      <c r="H61" s="11">
        <f t="shared" si="0"/>
        <v>314</v>
      </c>
      <c r="I61" s="5" t="s">
        <v>11</v>
      </c>
      <c r="J61" s="23"/>
      <c r="K61" s="8" t="s">
        <v>85</v>
      </c>
    </row>
    <row r="62" spans="1:11" x14ac:dyDescent="0.3">
      <c r="A62" s="63"/>
      <c r="B62" s="39"/>
      <c r="C62" s="11"/>
      <c r="D62" s="11"/>
      <c r="E62" s="11"/>
      <c r="F62" s="11"/>
      <c r="G62" s="11"/>
      <c r="H62" s="16">
        <v>316</v>
      </c>
      <c r="I62" s="5" t="s">
        <v>33</v>
      </c>
      <c r="J62" s="23"/>
    </row>
    <row r="63" spans="1:11" x14ac:dyDescent="0.3">
      <c r="A63" s="62">
        <v>29</v>
      </c>
      <c r="B63" s="44" t="s">
        <v>86</v>
      </c>
      <c r="C63" s="11"/>
      <c r="D63" s="11">
        <v>70</v>
      </c>
      <c r="E63" s="11">
        <v>16</v>
      </c>
      <c r="F63" s="11">
        <v>1</v>
      </c>
      <c r="G63" s="11">
        <v>0</v>
      </c>
      <c r="H63" s="11">
        <f t="shared" si="0"/>
        <v>138</v>
      </c>
      <c r="I63" s="5"/>
    </row>
    <row r="64" spans="1:11" x14ac:dyDescent="0.3">
      <c r="A64" s="63"/>
      <c r="B64" s="45"/>
      <c r="C64" s="11"/>
      <c r="D64" s="11"/>
      <c r="E64" s="11"/>
      <c r="F64" s="11"/>
      <c r="G64" s="11"/>
      <c r="H64" s="11">
        <v>140</v>
      </c>
      <c r="I64" s="5" t="s">
        <v>33</v>
      </c>
    </row>
    <row r="65" spans="1:12" x14ac:dyDescent="0.3">
      <c r="A65" s="62">
        <v>30</v>
      </c>
      <c r="B65" s="44" t="s">
        <v>87</v>
      </c>
      <c r="C65" s="11"/>
      <c r="D65" s="11">
        <v>82</v>
      </c>
      <c r="E65" s="11">
        <v>16</v>
      </c>
      <c r="F65" s="11">
        <v>1</v>
      </c>
      <c r="G65" s="11">
        <v>0</v>
      </c>
      <c r="H65" s="11">
        <f t="shared" si="0"/>
        <v>162</v>
      </c>
      <c r="I65" s="5"/>
    </row>
    <row r="66" spans="1:12" x14ac:dyDescent="0.3">
      <c r="A66" s="63"/>
      <c r="B66" s="45"/>
      <c r="C66" s="11"/>
      <c r="D66" s="11"/>
      <c r="E66" s="11"/>
      <c r="F66" s="11"/>
      <c r="G66" s="11"/>
      <c r="H66" s="11">
        <v>164</v>
      </c>
      <c r="I66" s="5" t="s">
        <v>33</v>
      </c>
    </row>
    <row r="67" spans="1:12" x14ac:dyDescent="0.3">
      <c r="A67" s="62">
        <v>31</v>
      </c>
      <c r="B67" s="38" t="s">
        <v>88</v>
      </c>
      <c r="C67" s="11"/>
      <c r="D67" s="11">
        <v>193</v>
      </c>
      <c r="E67" s="11">
        <v>16</v>
      </c>
      <c r="F67" s="11">
        <v>1</v>
      </c>
      <c r="G67" s="11">
        <v>0</v>
      </c>
      <c r="H67" s="11">
        <f t="shared" si="0"/>
        <v>384</v>
      </c>
      <c r="I67" s="5"/>
    </row>
    <row r="68" spans="1:12" x14ac:dyDescent="0.3">
      <c r="A68" s="63"/>
      <c r="B68" s="39"/>
      <c r="C68" s="11"/>
      <c r="D68" s="11"/>
      <c r="E68" s="11"/>
      <c r="F68" s="11"/>
      <c r="G68" s="11"/>
      <c r="H68" s="16">
        <v>386</v>
      </c>
      <c r="I68" s="5" t="s">
        <v>33</v>
      </c>
      <c r="J68" s="26" t="s">
        <v>89</v>
      </c>
      <c r="K68" s="26"/>
      <c r="L68" s="26" t="s">
        <v>90</v>
      </c>
    </row>
    <row r="69" spans="1:12" x14ac:dyDescent="0.3">
      <c r="A69" s="62">
        <v>32</v>
      </c>
      <c r="B69" s="37" t="s">
        <v>91</v>
      </c>
      <c r="C69" s="11"/>
      <c r="D69" s="11">
        <v>194</v>
      </c>
      <c r="E69" s="11">
        <v>16</v>
      </c>
      <c r="F69" s="11">
        <v>1</v>
      </c>
      <c r="G69" s="11">
        <v>0</v>
      </c>
      <c r="H69" s="11">
        <f>(D69-1)*2</f>
        <v>386</v>
      </c>
      <c r="I69" s="5"/>
    </row>
    <row r="70" spans="1:12" x14ac:dyDescent="0.3">
      <c r="A70" s="63"/>
      <c r="B70" s="37"/>
      <c r="C70" s="11"/>
      <c r="D70" s="11"/>
      <c r="E70" s="11"/>
      <c r="F70" s="11"/>
      <c r="G70" s="11"/>
      <c r="H70" s="16">
        <v>388</v>
      </c>
      <c r="I70" s="5" t="s">
        <v>33</v>
      </c>
    </row>
    <row r="71" spans="1:12" x14ac:dyDescent="0.3">
      <c r="A71" s="62">
        <v>33</v>
      </c>
      <c r="B71" s="38" t="s">
        <v>92</v>
      </c>
      <c r="C71" s="11"/>
      <c r="D71" s="11">
        <v>194</v>
      </c>
      <c r="E71" s="11">
        <v>16</v>
      </c>
      <c r="F71" s="11">
        <v>1</v>
      </c>
      <c r="G71" s="11">
        <v>0</v>
      </c>
      <c r="H71" s="11">
        <f t="shared" si="0"/>
        <v>386</v>
      </c>
      <c r="I71" s="5"/>
    </row>
    <row r="72" spans="1:12" x14ac:dyDescent="0.3">
      <c r="A72" s="63"/>
      <c r="B72" s="39"/>
      <c r="C72" s="11"/>
      <c r="D72" s="11"/>
      <c r="E72" s="11"/>
      <c r="F72" s="11"/>
      <c r="G72" s="11"/>
      <c r="H72" s="16">
        <v>388</v>
      </c>
      <c r="I72" s="5" t="s">
        <v>33</v>
      </c>
      <c r="J72" s="14" t="s">
        <v>93</v>
      </c>
      <c r="K72" s="14" t="s">
        <v>94</v>
      </c>
      <c r="L72" s="14" t="s">
        <v>95</v>
      </c>
    </row>
    <row r="73" spans="1:12" x14ac:dyDescent="0.3">
      <c r="A73" s="62">
        <v>34</v>
      </c>
      <c r="B73" s="38" t="s">
        <v>96</v>
      </c>
      <c r="C73" s="11"/>
      <c r="D73" s="11">
        <v>194</v>
      </c>
      <c r="E73" s="11">
        <v>16</v>
      </c>
      <c r="F73" s="11">
        <v>1</v>
      </c>
      <c r="G73" s="11">
        <v>0</v>
      </c>
      <c r="H73" s="11">
        <f t="shared" si="0"/>
        <v>386</v>
      </c>
      <c r="I73" s="11"/>
      <c r="J73" s="11"/>
      <c r="K73" s="11"/>
      <c r="L73" s="11"/>
    </row>
    <row r="74" spans="1:12" x14ac:dyDescent="0.3">
      <c r="A74" s="63"/>
      <c r="B74" s="39"/>
      <c r="C74" s="11"/>
      <c r="D74" s="11"/>
      <c r="E74" s="11"/>
      <c r="F74" s="11"/>
      <c r="G74" s="11"/>
      <c r="H74" s="16">
        <v>388</v>
      </c>
      <c r="I74" s="5" t="s">
        <v>33</v>
      </c>
      <c r="J74" s="14" t="s">
        <v>97</v>
      </c>
      <c r="K74" s="14" t="s">
        <v>98</v>
      </c>
      <c r="L74" s="14" t="s">
        <v>99</v>
      </c>
    </row>
    <row r="75" spans="1:12" x14ac:dyDescent="0.3">
      <c r="A75" s="62">
        <v>35</v>
      </c>
      <c r="B75" s="38" t="s">
        <v>100</v>
      </c>
      <c r="C75" s="11"/>
      <c r="D75" s="11">
        <v>194</v>
      </c>
      <c r="E75" s="11">
        <v>16</v>
      </c>
      <c r="F75" s="11">
        <v>1</v>
      </c>
      <c r="G75" s="11">
        <v>0</v>
      </c>
      <c r="H75" s="11">
        <f t="shared" si="0"/>
        <v>386</v>
      </c>
      <c r="I75" s="5"/>
      <c r="J75" s="11"/>
      <c r="K75" s="11"/>
      <c r="L75" s="11"/>
    </row>
    <row r="76" spans="1:12" x14ac:dyDescent="0.3">
      <c r="A76" s="63"/>
      <c r="B76" s="39"/>
      <c r="C76" s="11"/>
      <c r="D76" s="11"/>
      <c r="E76" s="11"/>
      <c r="F76" s="11"/>
      <c r="G76" s="11"/>
      <c r="H76" s="16">
        <v>388</v>
      </c>
      <c r="I76" s="5" t="s">
        <v>33</v>
      </c>
      <c r="J76" s="14" t="s">
        <v>101</v>
      </c>
      <c r="K76" s="14" t="s">
        <v>102</v>
      </c>
      <c r="L76" s="14" t="s">
        <v>103</v>
      </c>
    </row>
    <row r="77" spans="1:12" x14ac:dyDescent="0.3">
      <c r="A77" s="62">
        <v>36</v>
      </c>
      <c r="B77" s="38" t="s">
        <v>104</v>
      </c>
      <c r="C77" s="11"/>
      <c r="D77" s="11">
        <v>194</v>
      </c>
      <c r="E77" s="11">
        <v>16</v>
      </c>
      <c r="F77" s="11">
        <v>1</v>
      </c>
      <c r="G77" s="11">
        <v>0</v>
      </c>
      <c r="H77" s="11">
        <f t="shared" si="0"/>
        <v>386</v>
      </c>
      <c r="I77" s="5"/>
      <c r="J77" s="11"/>
      <c r="K77" s="11"/>
      <c r="L77" s="11"/>
    </row>
    <row r="78" spans="1:12" x14ac:dyDescent="0.3">
      <c r="A78" s="63"/>
      <c r="B78" s="39"/>
      <c r="C78" s="11"/>
      <c r="D78" s="11"/>
      <c r="E78" s="11"/>
      <c r="F78" s="11"/>
      <c r="G78" s="11"/>
      <c r="H78" s="16">
        <v>388</v>
      </c>
      <c r="I78" s="5" t="s">
        <v>33</v>
      </c>
      <c r="J78" s="14" t="s">
        <v>105</v>
      </c>
      <c r="K78" s="14" t="s">
        <v>106</v>
      </c>
      <c r="L78" s="27" t="s">
        <v>107</v>
      </c>
    </row>
    <row r="79" spans="1:12" x14ac:dyDescent="0.3">
      <c r="A79" s="60">
        <v>37</v>
      </c>
      <c r="B79" s="42" t="s">
        <v>108</v>
      </c>
      <c r="C79" s="16"/>
      <c r="D79" s="16">
        <v>194</v>
      </c>
      <c r="E79" s="16">
        <v>16</v>
      </c>
      <c r="F79" s="16">
        <v>1</v>
      </c>
      <c r="G79" s="16">
        <v>0</v>
      </c>
      <c r="H79" s="5">
        <f t="shared" si="0"/>
        <v>386</v>
      </c>
      <c r="I79" s="16"/>
      <c r="J79" s="11"/>
      <c r="K79" s="11"/>
      <c r="L79" s="11"/>
    </row>
    <row r="80" spans="1:12" x14ac:dyDescent="0.3">
      <c r="A80" s="61"/>
      <c r="B80" s="43"/>
      <c r="C80" s="16"/>
      <c r="D80" s="16"/>
      <c r="E80" s="16"/>
      <c r="F80" s="16"/>
      <c r="G80" s="16"/>
      <c r="H80" s="16">
        <v>388</v>
      </c>
      <c r="I80" s="5" t="s">
        <v>33</v>
      </c>
      <c r="J80" s="14" t="s">
        <v>109</v>
      </c>
      <c r="K80" s="14" t="s">
        <v>110</v>
      </c>
      <c r="L80" s="14" t="s">
        <v>111</v>
      </c>
    </row>
    <row r="81" spans="1:12" x14ac:dyDescent="0.3">
      <c r="A81" s="62">
        <v>38</v>
      </c>
      <c r="B81" s="38" t="s">
        <v>112</v>
      </c>
      <c r="C81" s="11"/>
      <c r="D81" s="11">
        <v>194</v>
      </c>
      <c r="E81" s="11">
        <v>16</v>
      </c>
      <c r="F81" s="11">
        <v>1</v>
      </c>
      <c r="G81" s="11">
        <v>0</v>
      </c>
      <c r="H81" s="11">
        <f t="shared" si="0"/>
        <v>386</v>
      </c>
      <c r="I81" s="5"/>
      <c r="J81" s="11"/>
      <c r="K81" s="11"/>
      <c r="L81" s="11"/>
    </row>
    <row r="82" spans="1:12" x14ac:dyDescent="0.3">
      <c r="A82" s="63"/>
      <c r="B82" s="39"/>
      <c r="C82" s="11"/>
      <c r="D82" s="11"/>
      <c r="E82" s="11"/>
      <c r="F82" s="11"/>
      <c r="G82" s="11"/>
      <c r="H82" s="16">
        <v>388</v>
      </c>
      <c r="I82" s="5" t="s">
        <v>33</v>
      </c>
      <c r="J82" s="14" t="s">
        <v>113</v>
      </c>
      <c r="K82" s="14" t="s">
        <v>114</v>
      </c>
      <c r="L82" s="14" t="s">
        <v>115</v>
      </c>
    </row>
    <row r="83" spans="1:12" x14ac:dyDescent="0.3">
      <c r="A83" s="62">
        <v>39</v>
      </c>
      <c r="B83" s="38" t="s">
        <v>116</v>
      </c>
      <c r="C83" s="11"/>
      <c r="D83" s="11">
        <v>194</v>
      </c>
      <c r="E83" s="11">
        <v>16</v>
      </c>
      <c r="F83" s="11">
        <v>1</v>
      </c>
      <c r="G83" s="11">
        <v>0</v>
      </c>
      <c r="H83" s="11">
        <f t="shared" si="0"/>
        <v>386</v>
      </c>
      <c r="I83" s="5"/>
      <c r="J83" s="11"/>
      <c r="K83" s="11"/>
      <c r="L83" s="11"/>
    </row>
    <row r="84" spans="1:12" x14ac:dyDescent="0.3">
      <c r="A84" s="63"/>
      <c r="B84" s="39"/>
      <c r="C84" s="11"/>
      <c r="D84" s="11"/>
      <c r="E84" s="11"/>
      <c r="F84" s="11"/>
      <c r="G84" s="11"/>
      <c r="H84" s="16">
        <v>388</v>
      </c>
      <c r="I84" s="5" t="s">
        <v>33</v>
      </c>
      <c r="J84" s="14" t="s">
        <v>117</v>
      </c>
      <c r="K84" s="14" t="s">
        <v>118</v>
      </c>
      <c r="L84" s="27" t="s">
        <v>119</v>
      </c>
    </row>
    <row r="85" spans="1:12" x14ac:dyDescent="0.3">
      <c r="A85" s="62">
        <v>40</v>
      </c>
      <c r="B85" s="38" t="s">
        <v>120</v>
      </c>
      <c r="C85" s="11"/>
      <c r="D85" s="11">
        <v>194</v>
      </c>
      <c r="E85" s="11">
        <v>16</v>
      </c>
      <c r="F85" s="11">
        <v>1</v>
      </c>
      <c r="G85" s="11">
        <v>0</v>
      </c>
      <c r="H85" s="11">
        <f t="shared" si="0"/>
        <v>386</v>
      </c>
      <c r="I85" s="5"/>
      <c r="J85" s="11"/>
      <c r="K85" s="11"/>
      <c r="L85" s="11"/>
    </row>
    <row r="86" spans="1:12" x14ac:dyDescent="0.3">
      <c r="A86" s="63"/>
      <c r="B86" s="39"/>
      <c r="C86" s="11"/>
      <c r="D86" s="11"/>
      <c r="E86" s="11"/>
      <c r="F86" s="11"/>
      <c r="G86" s="11"/>
      <c r="H86" s="16">
        <v>388</v>
      </c>
      <c r="I86" s="5" t="s">
        <v>33</v>
      </c>
      <c r="J86" s="14" t="s">
        <v>121</v>
      </c>
      <c r="K86" s="14" t="s">
        <v>122</v>
      </c>
      <c r="L86" s="27" t="s">
        <v>123</v>
      </c>
    </row>
    <row r="87" spans="1:12" x14ac:dyDescent="0.3">
      <c r="A87" s="62">
        <v>41</v>
      </c>
      <c r="B87" s="38" t="s">
        <v>124</v>
      </c>
      <c r="C87" s="11"/>
      <c r="D87" s="11">
        <v>194</v>
      </c>
      <c r="E87" s="11">
        <v>16</v>
      </c>
      <c r="F87" s="11">
        <v>1</v>
      </c>
      <c r="G87" s="11">
        <v>0</v>
      </c>
      <c r="H87" s="11">
        <f t="shared" si="0"/>
        <v>386</v>
      </c>
      <c r="I87" s="5"/>
      <c r="J87" s="11"/>
      <c r="K87" s="11"/>
      <c r="L87" s="11"/>
    </row>
    <row r="88" spans="1:12" x14ac:dyDescent="0.3">
      <c r="A88" s="63"/>
      <c r="B88" s="39"/>
      <c r="C88" s="11"/>
      <c r="D88" s="16"/>
      <c r="E88" s="11"/>
      <c r="F88" s="11"/>
      <c r="G88" s="11"/>
      <c r="H88" s="16">
        <v>388</v>
      </c>
      <c r="I88" s="5" t="s">
        <v>33</v>
      </c>
      <c r="J88" s="14" t="s">
        <v>125</v>
      </c>
      <c r="K88" s="14" t="s">
        <v>126</v>
      </c>
      <c r="L88" s="27" t="s">
        <v>127</v>
      </c>
    </row>
    <row r="89" spans="1:12" x14ac:dyDescent="0.3">
      <c r="A89" s="56">
        <v>42</v>
      </c>
      <c r="B89" s="38" t="s">
        <v>128</v>
      </c>
      <c r="C89" s="11"/>
      <c r="D89" s="11">
        <v>667</v>
      </c>
      <c r="E89" s="11">
        <v>16</v>
      </c>
      <c r="F89" s="11">
        <v>1</v>
      </c>
      <c r="G89" s="11">
        <v>1</v>
      </c>
      <c r="H89" s="11">
        <f t="shared" si="0"/>
        <v>1332</v>
      </c>
      <c r="I89" s="5"/>
      <c r="J89" s="8" t="s">
        <v>129</v>
      </c>
    </row>
    <row r="90" spans="1:12" x14ac:dyDescent="0.3">
      <c r="A90" s="57"/>
      <c r="B90" s="39"/>
      <c r="C90" s="11"/>
      <c r="D90" s="11"/>
      <c r="E90" s="11"/>
      <c r="F90" s="11"/>
      <c r="G90" s="11"/>
      <c r="H90" s="16">
        <v>1335</v>
      </c>
      <c r="I90" s="5" t="s">
        <v>14</v>
      </c>
      <c r="J90" s="23" t="s">
        <v>130</v>
      </c>
      <c r="K90" s="20" t="s">
        <v>16</v>
      </c>
    </row>
    <row r="91" spans="1:12" x14ac:dyDescent="0.3">
      <c r="A91" s="56">
        <v>43</v>
      </c>
      <c r="B91" s="38" t="s">
        <v>131</v>
      </c>
      <c r="C91" s="11" t="s">
        <v>31</v>
      </c>
      <c r="D91" s="11">
        <v>662</v>
      </c>
      <c r="E91" s="11">
        <v>16</v>
      </c>
      <c r="F91" s="11">
        <v>0.1</v>
      </c>
      <c r="G91" s="11">
        <v>1</v>
      </c>
      <c r="H91" s="11">
        <f t="shared" si="0"/>
        <v>1322</v>
      </c>
      <c r="I91" s="5" t="s">
        <v>46</v>
      </c>
      <c r="J91" s="28" t="s">
        <v>132</v>
      </c>
    </row>
    <row r="92" spans="1:12" x14ac:dyDescent="0.3">
      <c r="A92" s="57"/>
      <c r="B92" s="39"/>
      <c r="C92" s="11"/>
      <c r="D92" s="11"/>
      <c r="E92" s="11"/>
      <c r="F92" s="11"/>
      <c r="G92" s="11"/>
      <c r="H92" s="16">
        <v>1324</v>
      </c>
      <c r="I92" s="5" t="s">
        <v>33</v>
      </c>
      <c r="J92" s="8" t="s">
        <v>133</v>
      </c>
    </row>
    <row r="93" spans="1:12" x14ac:dyDescent="0.3">
      <c r="A93" s="56">
        <v>44</v>
      </c>
      <c r="B93" s="38" t="s">
        <v>134</v>
      </c>
      <c r="C93" s="11" t="s">
        <v>38</v>
      </c>
      <c r="D93" s="11">
        <v>664</v>
      </c>
      <c r="E93" s="11">
        <v>16</v>
      </c>
      <c r="F93" s="11">
        <v>0.1</v>
      </c>
      <c r="G93" s="11">
        <v>1</v>
      </c>
      <c r="H93" s="11">
        <f t="shared" si="0"/>
        <v>1326</v>
      </c>
      <c r="I93" s="5" t="s">
        <v>11</v>
      </c>
      <c r="J93" s="8" t="s">
        <v>135</v>
      </c>
    </row>
    <row r="94" spans="1:12" x14ac:dyDescent="0.3">
      <c r="A94" s="57"/>
      <c r="B94" s="39"/>
      <c r="C94" s="11"/>
      <c r="D94" s="11"/>
      <c r="E94" s="11"/>
      <c r="F94" s="11"/>
      <c r="G94" s="11"/>
      <c r="H94" s="16">
        <v>1328</v>
      </c>
      <c r="I94" s="5" t="s">
        <v>33</v>
      </c>
      <c r="J94" s="29" t="s">
        <v>136</v>
      </c>
    </row>
    <row r="95" spans="1:12" x14ac:dyDescent="0.3">
      <c r="A95" s="56">
        <v>45</v>
      </c>
      <c r="B95" s="38" t="s">
        <v>137</v>
      </c>
      <c r="C95" s="11" t="s">
        <v>31</v>
      </c>
      <c r="D95" s="11">
        <v>668</v>
      </c>
      <c r="E95" s="11">
        <v>16</v>
      </c>
      <c r="F95" s="11">
        <v>0.1</v>
      </c>
      <c r="G95" s="11">
        <v>1</v>
      </c>
      <c r="H95" s="11">
        <f t="shared" si="0"/>
        <v>1334</v>
      </c>
      <c r="I95" s="5" t="s">
        <v>46</v>
      </c>
      <c r="J95" s="30"/>
      <c r="K95" s="20" t="s">
        <v>16</v>
      </c>
    </row>
    <row r="96" spans="1:12" x14ac:dyDescent="0.3">
      <c r="A96" s="57"/>
      <c r="B96" s="39"/>
      <c r="C96" s="11"/>
      <c r="D96" s="11"/>
      <c r="E96" s="11"/>
      <c r="F96" s="11"/>
      <c r="G96" s="11"/>
      <c r="H96" s="16">
        <v>1336</v>
      </c>
      <c r="I96" s="5" t="s">
        <v>33</v>
      </c>
      <c r="J96" s="30" t="s">
        <v>138</v>
      </c>
    </row>
    <row r="97" spans="1:11" x14ac:dyDescent="0.3">
      <c r="A97" s="56">
        <v>46</v>
      </c>
      <c r="B97" s="40" t="s">
        <v>139</v>
      </c>
      <c r="C97" s="11" t="s">
        <v>31</v>
      </c>
      <c r="D97" s="11">
        <v>663</v>
      </c>
      <c r="E97" s="11"/>
      <c r="F97" s="11">
        <v>0.1</v>
      </c>
      <c r="G97" s="11"/>
      <c r="H97" s="11">
        <f t="shared" si="0"/>
        <v>1324</v>
      </c>
      <c r="I97" s="5" t="s">
        <v>11</v>
      </c>
      <c r="J97" s="8" t="s">
        <v>135</v>
      </c>
    </row>
    <row r="98" spans="1:11" x14ac:dyDescent="0.3">
      <c r="A98" s="57"/>
      <c r="B98" s="41"/>
      <c r="C98" s="11"/>
      <c r="D98" s="11"/>
      <c r="E98" s="11"/>
      <c r="F98" s="11"/>
      <c r="G98" s="11"/>
      <c r="H98" s="16">
        <v>1326</v>
      </c>
      <c r="I98" s="5" t="s">
        <v>33</v>
      </c>
      <c r="J98" s="29" t="s">
        <v>133</v>
      </c>
    </row>
    <row r="99" spans="1:11" x14ac:dyDescent="0.3">
      <c r="A99" s="56">
        <v>47</v>
      </c>
      <c r="B99" s="40" t="s">
        <v>140</v>
      </c>
      <c r="C99" s="11" t="s">
        <v>31</v>
      </c>
      <c r="D99" s="11">
        <v>665</v>
      </c>
      <c r="E99" s="11"/>
      <c r="F99" s="11">
        <v>0.1</v>
      </c>
      <c r="G99" s="11"/>
      <c r="H99" s="11">
        <f t="shared" si="0"/>
        <v>1328</v>
      </c>
      <c r="I99" s="5" t="s">
        <v>11</v>
      </c>
      <c r="J99" s="8" t="s">
        <v>135</v>
      </c>
    </row>
    <row r="100" spans="1:11" x14ac:dyDescent="0.3">
      <c r="A100" s="57"/>
      <c r="B100" s="41"/>
      <c r="C100" s="11"/>
      <c r="D100" s="11"/>
      <c r="E100" s="11"/>
      <c r="F100" s="11"/>
      <c r="G100" s="11"/>
      <c r="H100" s="16">
        <v>1330</v>
      </c>
      <c r="I100" s="5" t="s">
        <v>33</v>
      </c>
      <c r="J100" s="29" t="s">
        <v>133</v>
      </c>
    </row>
    <row r="101" spans="1:11" x14ac:dyDescent="0.3">
      <c r="A101" s="56">
        <v>48</v>
      </c>
      <c r="B101" s="35" t="s">
        <v>141</v>
      </c>
      <c r="C101" s="11"/>
      <c r="D101" s="11">
        <v>673</v>
      </c>
      <c r="E101" s="11"/>
      <c r="F101" s="11"/>
      <c r="G101" s="11"/>
      <c r="H101" s="11">
        <f t="shared" si="0"/>
        <v>1344</v>
      </c>
      <c r="I101" s="5"/>
    </row>
    <row r="102" spans="1:11" x14ac:dyDescent="0.3">
      <c r="A102" s="57"/>
      <c r="B102" s="36"/>
      <c r="C102" s="11"/>
      <c r="D102" s="11"/>
      <c r="E102" s="11"/>
      <c r="F102" s="11"/>
      <c r="G102" s="11"/>
      <c r="H102" s="16">
        <v>1346</v>
      </c>
      <c r="I102" s="5" t="s">
        <v>33</v>
      </c>
    </row>
    <row r="103" spans="1:11" x14ac:dyDescent="0.3">
      <c r="A103" s="56">
        <v>49</v>
      </c>
      <c r="B103" s="35" t="s">
        <v>142</v>
      </c>
      <c r="C103" s="11"/>
      <c r="D103" s="11">
        <v>674</v>
      </c>
      <c r="E103" s="11"/>
      <c r="F103" s="11"/>
      <c r="G103" s="11"/>
      <c r="H103" s="11">
        <f t="shared" si="0"/>
        <v>1346</v>
      </c>
      <c r="I103" s="5"/>
    </row>
    <row r="104" spans="1:11" x14ac:dyDescent="0.3">
      <c r="A104" s="57"/>
      <c r="B104" s="36"/>
      <c r="C104" s="11"/>
      <c r="D104" s="11"/>
      <c r="E104" s="11"/>
      <c r="F104" s="11"/>
      <c r="G104" s="11"/>
      <c r="H104" s="16">
        <v>1348</v>
      </c>
      <c r="I104" s="5" t="s">
        <v>33</v>
      </c>
    </row>
    <row r="105" spans="1:11" x14ac:dyDescent="0.3">
      <c r="A105" s="56">
        <v>50</v>
      </c>
      <c r="B105" s="35" t="s">
        <v>143</v>
      </c>
      <c r="C105" s="11"/>
      <c r="D105" s="11">
        <v>675</v>
      </c>
      <c r="E105" s="11"/>
      <c r="F105" s="11"/>
      <c r="G105" s="11"/>
      <c r="H105" s="11">
        <f t="shared" si="0"/>
        <v>1348</v>
      </c>
      <c r="I105" s="5"/>
    </row>
    <row r="106" spans="1:11" x14ac:dyDescent="0.3">
      <c r="A106" s="57"/>
      <c r="B106" s="36"/>
      <c r="C106" s="11"/>
      <c r="D106" s="11"/>
      <c r="E106" s="11"/>
      <c r="F106" s="11"/>
      <c r="G106" s="11"/>
      <c r="H106" s="16">
        <v>1350</v>
      </c>
      <c r="I106" s="5" t="s">
        <v>33</v>
      </c>
    </row>
    <row r="107" spans="1:11" x14ac:dyDescent="0.3">
      <c r="A107" s="56">
        <v>51</v>
      </c>
      <c r="B107" s="35" t="s">
        <v>144</v>
      </c>
      <c r="C107" s="11"/>
      <c r="D107" s="11">
        <v>676</v>
      </c>
      <c r="E107" s="11"/>
      <c r="F107" s="11"/>
      <c r="G107" s="11"/>
      <c r="H107" s="11">
        <f t="shared" si="0"/>
        <v>1350</v>
      </c>
      <c r="I107" s="5"/>
    </row>
    <row r="108" spans="1:11" x14ac:dyDescent="0.3">
      <c r="A108" s="57"/>
      <c r="B108" s="36"/>
      <c r="C108" s="11"/>
      <c r="D108" s="11"/>
      <c r="E108" s="11"/>
      <c r="F108" s="11"/>
      <c r="G108" s="11"/>
      <c r="H108" s="16">
        <v>1352</v>
      </c>
      <c r="I108" s="5" t="s">
        <v>33</v>
      </c>
    </row>
    <row r="109" spans="1:11" x14ac:dyDescent="0.3">
      <c r="A109" s="56">
        <v>52</v>
      </c>
      <c r="B109" s="35" t="s">
        <v>145</v>
      </c>
      <c r="C109" s="11"/>
      <c r="D109" s="11">
        <v>679</v>
      </c>
      <c r="E109" s="11"/>
      <c r="F109" s="11"/>
      <c r="G109" s="11"/>
      <c r="H109" s="11">
        <f t="shared" si="0"/>
        <v>1356</v>
      </c>
      <c r="I109" s="5"/>
    </row>
    <row r="110" spans="1:11" x14ac:dyDescent="0.3">
      <c r="A110" s="57"/>
      <c r="B110" s="36"/>
      <c r="C110" s="11"/>
      <c r="D110" s="11"/>
      <c r="E110" s="11"/>
      <c r="F110" s="11"/>
      <c r="G110" s="11"/>
      <c r="H110" s="16">
        <v>1358</v>
      </c>
      <c r="I110" s="5" t="s">
        <v>33</v>
      </c>
    </row>
    <row r="111" spans="1:11" x14ac:dyDescent="0.3">
      <c r="A111" s="58">
        <v>53</v>
      </c>
      <c r="B111" s="38" t="s">
        <v>146</v>
      </c>
      <c r="C111" s="11"/>
      <c r="D111" s="11">
        <v>727</v>
      </c>
      <c r="E111" s="11">
        <v>16</v>
      </c>
      <c r="F111" s="11">
        <v>1</v>
      </c>
      <c r="G111" s="11">
        <v>1</v>
      </c>
      <c r="H111" s="11">
        <f t="shared" si="0"/>
        <v>1452</v>
      </c>
      <c r="I111" s="5" t="s">
        <v>11</v>
      </c>
      <c r="J111" s="8" t="s">
        <v>147</v>
      </c>
    </row>
    <row r="112" spans="1:11" x14ac:dyDescent="0.3">
      <c r="A112" s="59"/>
      <c r="B112" s="39"/>
      <c r="C112" s="11"/>
      <c r="D112" s="11"/>
      <c r="E112" s="11"/>
      <c r="F112" s="11"/>
      <c r="G112" s="11"/>
      <c r="H112" s="16">
        <v>1455</v>
      </c>
      <c r="I112" s="5" t="s">
        <v>14</v>
      </c>
      <c r="J112" s="23" t="s">
        <v>130</v>
      </c>
      <c r="K112" s="20" t="s">
        <v>16</v>
      </c>
    </row>
    <row r="113" spans="1:11" x14ac:dyDescent="0.3">
      <c r="A113" s="58">
        <v>54</v>
      </c>
      <c r="B113" s="38" t="s">
        <v>148</v>
      </c>
      <c r="C113" s="11" t="s">
        <v>31</v>
      </c>
      <c r="D113" s="11">
        <v>722</v>
      </c>
      <c r="E113" s="11">
        <v>16</v>
      </c>
      <c r="F113" s="11">
        <v>0.1</v>
      </c>
      <c r="G113" s="11">
        <v>1</v>
      </c>
      <c r="H113" s="11">
        <f t="shared" si="0"/>
        <v>1442</v>
      </c>
      <c r="I113" s="5" t="s">
        <v>46</v>
      </c>
      <c r="J113" s="28" t="s">
        <v>132</v>
      </c>
    </row>
    <row r="114" spans="1:11" x14ac:dyDescent="0.3">
      <c r="A114" s="59"/>
      <c r="B114" s="39"/>
      <c r="C114" s="11"/>
      <c r="D114" s="11"/>
      <c r="E114" s="11"/>
      <c r="F114" s="11"/>
      <c r="G114" s="11"/>
      <c r="H114" s="16">
        <v>1444</v>
      </c>
      <c r="I114" s="5" t="s">
        <v>33</v>
      </c>
      <c r="J114" s="8" t="s">
        <v>133</v>
      </c>
    </row>
    <row r="115" spans="1:11" x14ac:dyDescent="0.3">
      <c r="A115" s="58">
        <v>55</v>
      </c>
      <c r="B115" s="38" t="s">
        <v>149</v>
      </c>
      <c r="C115" s="11" t="s">
        <v>38</v>
      </c>
      <c r="D115" s="11">
        <v>724</v>
      </c>
      <c r="E115" s="11">
        <v>16</v>
      </c>
      <c r="F115" s="11">
        <v>0.1</v>
      </c>
      <c r="G115" s="11">
        <v>1</v>
      </c>
      <c r="H115" s="11">
        <f t="shared" si="0"/>
        <v>1446</v>
      </c>
      <c r="I115" s="5" t="s">
        <v>11</v>
      </c>
      <c r="J115" s="8" t="s">
        <v>135</v>
      </c>
    </row>
    <row r="116" spans="1:11" x14ac:dyDescent="0.3">
      <c r="A116" s="59"/>
      <c r="B116" s="39"/>
      <c r="C116" s="11"/>
      <c r="D116" s="11"/>
      <c r="E116" s="11"/>
      <c r="F116" s="11"/>
      <c r="G116" s="11"/>
      <c r="H116" s="16">
        <v>1448</v>
      </c>
      <c r="I116" s="5" t="s">
        <v>33</v>
      </c>
      <c r="J116" s="29" t="s">
        <v>136</v>
      </c>
    </row>
    <row r="117" spans="1:11" x14ac:dyDescent="0.3">
      <c r="A117" s="58">
        <v>56</v>
      </c>
      <c r="B117" s="38" t="s">
        <v>150</v>
      </c>
      <c r="C117" s="11" t="s">
        <v>31</v>
      </c>
      <c r="D117" s="11">
        <v>728</v>
      </c>
      <c r="E117" s="11">
        <v>16</v>
      </c>
      <c r="F117" s="11">
        <v>0.1</v>
      </c>
      <c r="G117" s="11">
        <v>1</v>
      </c>
      <c r="H117" s="11">
        <f t="shared" si="0"/>
        <v>1454</v>
      </c>
      <c r="I117" s="5" t="s">
        <v>46</v>
      </c>
      <c r="K117" s="20" t="s">
        <v>16</v>
      </c>
    </row>
    <row r="118" spans="1:11" x14ac:dyDescent="0.3">
      <c r="A118" s="59"/>
      <c r="B118" s="39"/>
      <c r="C118" s="11"/>
      <c r="D118" s="11"/>
      <c r="E118" s="11"/>
      <c r="F118" s="11"/>
      <c r="G118" s="11"/>
      <c r="H118" s="16">
        <v>1456</v>
      </c>
      <c r="I118" s="5" t="s">
        <v>33</v>
      </c>
      <c r="J118" s="29" t="s">
        <v>133</v>
      </c>
    </row>
    <row r="119" spans="1:11" x14ac:dyDescent="0.3">
      <c r="A119" s="58">
        <v>57</v>
      </c>
      <c r="B119" s="40" t="s">
        <v>151</v>
      </c>
      <c r="C119" s="11" t="s">
        <v>31</v>
      </c>
      <c r="D119" s="11">
        <v>723</v>
      </c>
      <c r="E119" s="11"/>
      <c r="F119" s="11">
        <v>0.1</v>
      </c>
      <c r="G119" s="11"/>
      <c r="H119" s="11">
        <f t="shared" si="0"/>
        <v>1444</v>
      </c>
      <c r="I119" s="5" t="s">
        <v>11</v>
      </c>
      <c r="J119" s="8" t="s">
        <v>135</v>
      </c>
    </row>
    <row r="120" spans="1:11" x14ac:dyDescent="0.3">
      <c r="A120" s="59"/>
      <c r="B120" s="41"/>
      <c r="C120" s="11"/>
      <c r="D120" s="11"/>
      <c r="E120" s="11"/>
      <c r="F120" s="11"/>
      <c r="G120" s="11"/>
      <c r="H120" s="16">
        <v>1446</v>
      </c>
      <c r="I120" s="5" t="s">
        <v>33</v>
      </c>
      <c r="J120" s="29" t="s">
        <v>133</v>
      </c>
    </row>
    <row r="121" spans="1:11" x14ac:dyDescent="0.3">
      <c r="A121" s="58">
        <v>58</v>
      </c>
      <c r="B121" s="40" t="s">
        <v>152</v>
      </c>
      <c r="C121" s="11" t="s">
        <v>31</v>
      </c>
      <c r="D121" s="11">
        <v>725</v>
      </c>
      <c r="E121" s="11"/>
      <c r="F121" s="11">
        <v>0.1</v>
      </c>
      <c r="G121" s="11"/>
      <c r="H121" s="11">
        <f t="shared" si="0"/>
        <v>1448</v>
      </c>
      <c r="I121" s="5" t="s">
        <v>11</v>
      </c>
      <c r="J121" s="8" t="s">
        <v>135</v>
      </c>
    </row>
    <row r="122" spans="1:11" x14ac:dyDescent="0.3">
      <c r="A122" s="59"/>
      <c r="B122" s="41"/>
      <c r="C122" s="11"/>
      <c r="D122" s="11"/>
      <c r="E122" s="11"/>
      <c r="F122" s="11"/>
      <c r="G122" s="11"/>
      <c r="H122" s="16">
        <v>1450</v>
      </c>
      <c r="I122" s="5" t="s">
        <v>33</v>
      </c>
      <c r="J122" s="29" t="s">
        <v>133</v>
      </c>
    </row>
    <row r="123" spans="1:11" x14ac:dyDescent="0.3">
      <c r="A123" s="58">
        <v>59</v>
      </c>
      <c r="B123" s="35" t="s">
        <v>153</v>
      </c>
      <c r="C123" s="11"/>
      <c r="D123" s="11">
        <v>733</v>
      </c>
      <c r="E123" s="11"/>
      <c r="F123" s="11"/>
      <c r="G123" s="11"/>
      <c r="H123" s="11">
        <f t="shared" si="0"/>
        <v>1464</v>
      </c>
      <c r="I123" s="5"/>
      <c r="J123" s="8" t="s">
        <v>154</v>
      </c>
    </row>
    <row r="124" spans="1:11" x14ac:dyDescent="0.3">
      <c r="A124" s="59"/>
      <c r="B124" s="36"/>
      <c r="C124" s="11"/>
      <c r="D124" s="11"/>
      <c r="E124" s="11"/>
      <c r="F124" s="11"/>
      <c r="G124" s="11"/>
      <c r="H124" s="16">
        <v>1466</v>
      </c>
      <c r="I124" s="5" t="s">
        <v>33</v>
      </c>
    </row>
    <row r="125" spans="1:11" x14ac:dyDescent="0.3">
      <c r="A125" s="58">
        <v>60</v>
      </c>
      <c r="B125" s="35" t="s">
        <v>155</v>
      </c>
      <c r="C125" s="11"/>
      <c r="D125" s="11">
        <v>734</v>
      </c>
      <c r="E125" s="11"/>
      <c r="F125" s="11"/>
      <c r="G125" s="11"/>
      <c r="H125" s="11">
        <f t="shared" si="0"/>
        <v>1466</v>
      </c>
      <c r="I125" s="5"/>
      <c r="J125" s="8" t="s">
        <v>154</v>
      </c>
    </row>
    <row r="126" spans="1:11" x14ac:dyDescent="0.3">
      <c r="A126" s="59"/>
      <c r="B126" s="36"/>
      <c r="C126" s="11"/>
      <c r="D126" s="11"/>
      <c r="E126" s="11"/>
      <c r="F126" s="11"/>
      <c r="G126" s="11"/>
      <c r="H126" s="16">
        <v>1468</v>
      </c>
      <c r="I126" s="5" t="s">
        <v>33</v>
      </c>
    </row>
    <row r="127" spans="1:11" x14ac:dyDescent="0.3">
      <c r="A127" s="58">
        <v>61</v>
      </c>
      <c r="B127" s="35" t="s">
        <v>156</v>
      </c>
      <c r="C127" s="11"/>
      <c r="D127" s="11">
        <v>735</v>
      </c>
      <c r="E127" s="11"/>
      <c r="F127" s="11"/>
      <c r="G127" s="11"/>
      <c r="H127" s="11">
        <f t="shared" si="0"/>
        <v>1468</v>
      </c>
      <c r="I127" s="5"/>
      <c r="J127" s="8" t="s">
        <v>154</v>
      </c>
    </row>
    <row r="128" spans="1:11" x14ac:dyDescent="0.3">
      <c r="A128" s="59"/>
      <c r="B128" s="36"/>
      <c r="C128" s="11"/>
      <c r="D128" s="11"/>
      <c r="E128" s="11"/>
      <c r="F128" s="11"/>
      <c r="G128" s="11"/>
      <c r="H128" s="16">
        <v>1470</v>
      </c>
      <c r="I128" s="5" t="s">
        <v>33</v>
      </c>
    </row>
    <row r="129" spans="1:11" x14ac:dyDescent="0.3">
      <c r="A129" s="58">
        <v>62</v>
      </c>
      <c r="B129" s="35" t="s">
        <v>157</v>
      </c>
      <c r="C129" s="11"/>
      <c r="D129" s="11">
        <v>736</v>
      </c>
      <c r="E129" s="11"/>
      <c r="F129" s="11"/>
      <c r="G129" s="11"/>
      <c r="H129" s="11">
        <f t="shared" si="0"/>
        <v>1470</v>
      </c>
      <c r="I129" s="5"/>
      <c r="J129" s="8" t="s">
        <v>154</v>
      </c>
    </row>
    <row r="130" spans="1:11" x14ac:dyDescent="0.3">
      <c r="A130" s="59"/>
      <c r="B130" s="36"/>
      <c r="C130" s="11"/>
      <c r="D130" s="11"/>
      <c r="E130" s="11"/>
      <c r="F130" s="11"/>
      <c r="G130" s="11"/>
      <c r="H130" s="16">
        <v>1472</v>
      </c>
      <c r="I130" s="5" t="s">
        <v>33</v>
      </c>
    </row>
    <row r="131" spans="1:11" x14ac:dyDescent="0.3">
      <c r="A131" s="58">
        <v>63</v>
      </c>
      <c r="B131" s="35" t="s">
        <v>158</v>
      </c>
      <c r="C131" s="11"/>
      <c r="D131" s="11">
        <v>739</v>
      </c>
      <c r="E131" s="11"/>
      <c r="F131" s="11"/>
      <c r="G131" s="11"/>
      <c r="H131" s="11">
        <f t="shared" si="0"/>
        <v>1476</v>
      </c>
      <c r="I131" s="5"/>
      <c r="J131" s="8" t="s">
        <v>154</v>
      </c>
    </row>
    <row r="132" spans="1:11" x14ac:dyDescent="0.3">
      <c r="A132" s="59"/>
      <c r="B132" s="36"/>
      <c r="C132" s="11"/>
      <c r="D132" s="11"/>
      <c r="E132" s="11"/>
      <c r="F132" s="11"/>
      <c r="G132" s="11"/>
      <c r="H132" s="16">
        <v>1478</v>
      </c>
      <c r="I132" s="5" t="s">
        <v>33</v>
      </c>
    </row>
    <row r="133" spans="1:11" x14ac:dyDescent="0.3">
      <c r="A133" s="56">
        <v>64</v>
      </c>
      <c r="B133" s="38" t="s">
        <v>159</v>
      </c>
      <c r="C133" s="11"/>
      <c r="D133" s="11">
        <v>757</v>
      </c>
      <c r="E133" s="11">
        <v>16</v>
      </c>
      <c r="F133" s="11">
        <v>1</v>
      </c>
      <c r="G133" s="11">
        <v>1</v>
      </c>
      <c r="H133" s="11">
        <f t="shared" si="0"/>
        <v>1512</v>
      </c>
      <c r="I133" s="5" t="s">
        <v>11</v>
      </c>
      <c r="J133" s="8" t="s">
        <v>147</v>
      </c>
    </row>
    <row r="134" spans="1:11" x14ac:dyDescent="0.3">
      <c r="A134" s="57"/>
      <c r="B134" s="39"/>
      <c r="C134" s="11"/>
      <c r="D134" s="11"/>
      <c r="E134" s="11"/>
      <c r="F134" s="11"/>
      <c r="G134" s="11"/>
      <c r="H134" s="16">
        <v>1515</v>
      </c>
      <c r="I134" s="5" t="s">
        <v>14</v>
      </c>
      <c r="J134" s="23" t="s">
        <v>130</v>
      </c>
      <c r="K134" s="20" t="s">
        <v>16</v>
      </c>
    </row>
    <row r="135" spans="1:11" x14ac:dyDescent="0.3">
      <c r="A135" s="56">
        <v>65</v>
      </c>
      <c r="B135" s="38" t="s">
        <v>160</v>
      </c>
      <c r="C135" s="11" t="s">
        <v>31</v>
      </c>
      <c r="D135" s="11">
        <v>752</v>
      </c>
      <c r="E135" s="11">
        <v>16</v>
      </c>
      <c r="F135" s="11">
        <v>0.1</v>
      </c>
      <c r="G135" s="11">
        <v>1</v>
      </c>
      <c r="H135" s="11">
        <f t="shared" si="0"/>
        <v>1502</v>
      </c>
      <c r="I135" s="5" t="s">
        <v>46</v>
      </c>
      <c r="J135" s="8" t="s">
        <v>132</v>
      </c>
    </row>
    <row r="136" spans="1:11" x14ac:dyDescent="0.3">
      <c r="A136" s="57"/>
      <c r="B136" s="39"/>
      <c r="C136" s="11"/>
      <c r="D136" s="11"/>
      <c r="E136" s="11"/>
      <c r="F136" s="11"/>
      <c r="G136" s="11"/>
      <c r="H136" s="16">
        <v>1504</v>
      </c>
      <c r="I136" s="5" t="s">
        <v>33</v>
      </c>
      <c r="J136" s="8" t="s">
        <v>133</v>
      </c>
    </row>
    <row r="137" spans="1:11" x14ac:dyDescent="0.3">
      <c r="A137" s="56">
        <v>66</v>
      </c>
      <c r="B137" s="38" t="s">
        <v>161</v>
      </c>
      <c r="C137" s="11" t="s">
        <v>38</v>
      </c>
      <c r="D137" s="11">
        <v>754</v>
      </c>
      <c r="E137" s="11">
        <v>16</v>
      </c>
      <c r="F137" s="11">
        <v>0.1</v>
      </c>
      <c r="G137" s="11">
        <v>1</v>
      </c>
      <c r="H137" s="11">
        <f t="shared" si="0"/>
        <v>1506</v>
      </c>
      <c r="I137" s="5" t="s">
        <v>11</v>
      </c>
      <c r="J137" s="8" t="s">
        <v>135</v>
      </c>
    </row>
    <row r="138" spans="1:11" x14ac:dyDescent="0.3">
      <c r="A138" s="57"/>
      <c r="B138" s="39"/>
      <c r="C138" s="11"/>
      <c r="D138" s="11"/>
      <c r="E138" s="11"/>
      <c r="F138" s="11"/>
      <c r="G138" s="11"/>
      <c r="H138" s="16">
        <v>1508</v>
      </c>
      <c r="I138" s="5" t="s">
        <v>33</v>
      </c>
      <c r="J138" s="29" t="s">
        <v>136</v>
      </c>
    </row>
    <row r="139" spans="1:11" x14ac:dyDescent="0.3">
      <c r="A139" s="56">
        <v>67</v>
      </c>
      <c r="B139" s="38" t="s">
        <v>162</v>
      </c>
      <c r="C139" s="11" t="s">
        <v>31</v>
      </c>
      <c r="D139" s="11">
        <v>758</v>
      </c>
      <c r="E139" s="11">
        <v>16</v>
      </c>
      <c r="F139" s="11">
        <v>0.1</v>
      </c>
      <c r="G139" s="11">
        <v>1</v>
      </c>
      <c r="H139" s="11">
        <f t="shared" si="0"/>
        <v>1514</v>
      </c>
      <c r="I139" s="5" t="s">
        <v>46</v>
      </c>
      <c r="J139" s="8" t="s">
        <v>32</v>
      </c>
      <c r="K139" s="20" t="s">
        <v>16</v>
      </c>
    </row>
    <row r="140" spans="1:11" x14ac:dyDescent="0.3">
      <c r="A140" s="57"/>
      <c r="B140" s="39"/>
      <c r="C140" s="11"/>
      <c r="D140" s="11"/>
      <c r="E140" s="11"/>
      <c r="F140" s="11"/>
      <c r="G140" s="11"/>
      <c r="H140" s="16">
        <v>1516</v>
      </c>
      <c r="I140" s="5" t="s">
        <v>33</v>
      </c>
      <c r="J140" s="29" t="s">
        <v>133</v>
      </c>
    </row>
    <row r="141" spans="1:11" x14ac:dyDescent="0.3">
      <c r="A141" s="56">
        <v>68</v>
      </c>
      <c r="B141" s="40" t="s">
        <v>163</v>
      </c>
      <c r="C141" s="11" t="s">
        <v>31</v>
      </c>
      <c r="D141" s="11">
        <v>753</v>
      </c>
      <c r="E141" s="11"/>
      <c r="F141" s="11">
        <v>0.1</v>
      </c>
      <c r="G141" s="11"/>
      <c r="H141" s="11">
        <f t="shared" si="0"/>
        <v>1504</v>
      </c>
      <c r="I141" s="5" t="s">
        <v>11</v>
      </c>
      <c r="J141" s="8" t="s">
        <v>135</v>
      </c>
    </row>
    <row r="142" spans="1:11" x14ac:dyDescent="0.3">
      <c r="A142" s="57"/>
      <c r="B142" s="41"/>
      <c r="C142" s="11"/>
      <c r="D142" s="11"/>
      <c r="E142" s="11"/>
      <c r="F142" s="11"/>
      <c r="G142" s="11"/>
      <c r="H142" s="16">
        <v>1506</v>
      </c>
      <c r="I142" s="5" t="s">
        <v>33</v>
      </c>
      <c r="J142" s="29" t="s">
        <v>133</v>
      </c>
    </row>
    <row r="143" spans="1:11" x14ac:dyDescent="0.3">
      <c r="A143" s="56">
        <v>69</v>
      </c>
      <c r="B143" s="40" t="s">
        <v>164</v>
      </c>
      <c r="C143" s="11" t="s">
        <v>31</v>
      </c>
      <c r="D143" s="11">
        <v>755</v>
      </c>
      <c r="E143" s="11"/>
      <c r="F143" s="11">
        <v>0.1</v>
      </c>
      <c r="G143" s="11"/>
      <c r="H143" s="11">
        <f t="shared" si="0"/>
        <v>1508</v>
      </c>
      <c r="I143" s="5" t="s">
        <v>11</v>
      </c>
      <c r="J143" s="8" t="s">
        <v>135</v>
      </c>
    </row>
    <row r="144" spans="1:11" x14ac:dyDescent="0.3">
      <c r="A144" s="57"/>
      <c r="B144" s="41"/>
      <c r="C144" s="11"/>
      <c r="D144" s="11"/>
      <c r="E144" s="11"/>
      <c r="F144" s="11"/>
      <c r="G144" s="11"/>
      <c r="H144" s="16">
        <v>1510</v>
      </c>
      <c r="I144" s="5" t="s">
        <v>33</v>
      </c>
      <c r="J144" s="29" t="s">
        <v>133</v>
      </c>
    </row>
    <row r="145" spans="1:11" x14ac:dyDescent="0.3">
      <c r="A145" s="56">
        <v>70</v>
      </c>
      <c r="B145" s="35" t="s">
        <v>165</v>
      </c>
      <c r="C145" s="11"/>
      <c r="D145" s="11">
        <v>763</v>
      </c>
      <c r="E145" s="11"/>
      <c r="F145" s="11"/>
      <c r="G145" s="11"/>
      <c r="H145" s="11">
        <f t="shared" si="0"/>
        <v>1524</v>
      </c>
      <c r="I145" s="5"/>
      <c r="J145" s="8" t="s">
        <v>154</v>
      </c>
    </row>
    <row r="146" spans="1:11" x14ac:dyDescent="0.3">
      <c r="A146" s="57"/>
      <c r="B146" s="36"/>
      <c r="C146" s="11"/>
      <c r="D146" s="11"/>
      <c r="E146" s="11"/>
      <c r="F146" s="11"/>
      <c r="G146" s="11"/>
      <c r="H146" s="16">
        <v>1526</v>
      </c>
      <c r="I146" s="5" t="s">
        <v>33</v>
      </c>
    </row>
    <row r="147" spans="1:11" x14ac:dyDescent="0.3">
      <c r="A147" s="56">
        <v>71</v>
      </c>
      <c r="B147" s="35" t="s">
        <v>166</v>
      </c>
      <c r="C147" s="11"/>
      <c r="D147" s="11">
        <v>764</v>
      </c>
      <c r="E147" s="11"/>
      <c r="F147" s="11"/>
      <c r="G147" s="11"/>
      <c r="H147" s="11">
        <f t="shared" si="0"/>
        <v>1526</v>
      </c>
      <c r="I147" s="5"/>
      <c r="J147" s="8" t="s">
        <v>154</v>
      </c>
    </row>
    <row r="148" spans="1:11" x14ac:dyDescent="0.3">
      <c r="A148" s="57"/>
      <c r="B148" s="36"/>
      <c r="C148" s="11"/>
      <c r="D148" s="11"/>
      <c r="E148" s="11"/>
      <c r="F148" s="11"/>
      <c r="G148" s="11"/>
      <c r="H148" s="16">
        <v>1528</v>
      </c>
      <c r="I148" s="5" t="s">
        <v>33</v>
      </c>
    </row>
    <row r="149" spans="1:11" x14ac:dyDescent="0.3">
      <c r="A149" s="56">
        <v>72</v>
      </c>
      <c r="B149" s="35" t="s">
        <v>167</v>
      </c>
      <c r="C149" s="11"/>
      <c r="D149" s="11">
        <v>765</v>
      </c>
      <c r="E149" s="11"/>
      <c r="F149" s="11"/>
      <c r="G149" s="11"/>
      <c r="H149" s="11">
        <f t="shared" si="0"/>
        <v>1528</v>
      </c>
      <c r="I149" s="5"/>
      <c r="J149" s="8" t="s">
        <v>154</v>
      </c>
    </row>
    <row r="150" spans="1:11" x14ac:dyDescent="0.3">
      <c r="A150" s="57"/>
      <c r="B150" s="36"/>
      <c r="C150" s="11"/>
      <c r="D150" s="11"/>
      <c r="E150" s="11"/>
      <c r="F150" s="11"/>
      <c r="G150" s="11"/>
      <c r="H150" s="16">
        <v>1530</v>
      </c>
      <c r="I150" s="5" t="s">
        <v>33</v>
      </c>
    </row>
    <row r="151" spans="1:11" x14ac:dyDescent="0.3">
      <c r="A151" s="56">
        <v>73</v>
      </c>
      <c r="B151" s="35" t="s">
        <v>168</v>
      </c>
      <c r="C151" s="11"/>
      <c r="D151" s="11">
        <v>766</v>
      </c>
      <c r="E151" s="11"/>
      <c r="F151" s="11"/>
      <c r="G151" s="11"/>
      <c r="H151" s="11">
        <f t="shared" si="0"/>
        <v>1530</v>
      </c>
      <c r="I151" s="5"/>
      <c r="J151" s="8" t="s">
        <v>154</v>
      </c>
    </row>
    <row r="152" spans="1:11" x14ac:dyDescent="0.3">
      <c r="A152" s="57"/>
      <c r="B152" s="36"/>
      <c r="C152" s="11"/>
      <c r="D152" s="11"/>
      <c r="E152" s="11"/>
      <c r="F152" s="11"/>
      <c r="G152" s="11"/>
      <c r="H152" s="16">
        <v>1532</v>
      </c>
      <c r="I152" s="5" t="s">
        <v>33</v>
      </c>
    </row>
    <row r="153" spans="1:11" x14ac:dyDescent="0.3">
      <c r="A153" s="56">
        <v>74</v>
      </c>
      <c r="B153" s="35" t="s">
        <v>169</v>
      </c>
      <c r="C153" s="11"/>
      <c r="D153" s="11">
        <v>769</v>
      </c>
      <c r="E153" s="11"/>
      <c r="F153" s="11"/>
      <c r="G153" s="11"/>
      <c r="H153" s="11">
        <f t="shared" si="0"/>
        <v>1536</v>
      </c>
      <c r="I153" s="5"/>
      <c r="J153" s="8" t="s">
        <v>154</v>
      </c>
    </row>
    <row r="154" spans="1:11" x14ac:dyDescent="0.3">
      <c r="A154" s="57"/>
      <c r="B154" s="36"/>
      <c r="C154" s="11"/>
      <c r="D154" s="11"/>
      <c r="E154" s="11"/>
      <c r="F154" s="11"/>
      <c r="G154" s="11"/>
      <c r="H154" s="16">
        <v>1538</v>
      </c>
      <c r="I154" s="5" t="s">
        <v>33</v>
      </c>
    </row>
    <row r="155" spans="1:11" x14ac:dyDescent="0.3">
      <c r="A155" s="52">
        <v>75</v>
      </c>
      <c r="B155" s="66" t="s">
        <v>303</v>
      </c>
      <c r="C155" s="11"/>
      <c r="D155" s="11">
        <v>697</v>
      </c>
      <c r="E155" s="11">
        <v>16</v>
      </c>
      <c r="F155" s="11">
        <v>1</v>
      </c>
      <c r="G155" s="11">
        <v>1</v>
      </c>
      <c r="H155" s="11">
        <f t="shared" si="0"/>
        <v>1392</v>
      </c>
      <c r="I155" s="5" t="s">
        <v>11</v>
      </c>
      <c r="J155" s="8" t="s">
        <v>147</v>
      </c>
    </row>
    <row r="156" spans="1:11" x14ac:dyDescent="0.3">
      <c r="A156" s="53"/>
      <c r="B156" s="39"/>
      <c r="C156" s="11"/>
      <c r="D156" s="11"/>
      <c r="E156" s="11"/>
      <c r="F156" s="11"/>
      <c r="G156" s="11"/>
      <c r="H156" s="18">
        <v>1395</v>
      </c>
      <c r="I156" s="5" t="s">
        <v>14</v>
      </c>
      <c r="J156" s="23" t="s">
        <v>130</v>
      </c>
      <c r="K156" s="20" t="s">
        <v>16</v>
      </c>
    </row>
    <row r="157" spans="1:11" x14ac:dyDescent="0.3">
      <c r="A157" s="52">
        <v>76</v>
      </c>
      <c r="B157" s="38" t="s">
        <v>170</v>
      </c>
      <c r="C157" s="11" t="s">
        <v>31</v>
      </c>
      <c r="D157" s="11">
        <v>692</v>
      </c>
      <c r="E157" s="11">
        <v>16</v>
      </c>
      <c r="F157" s="11">
        <v>0.1</v>
      </c>
      <c r="G157" s="11">
        <v>1</v>
      </c>
      <c r="H157" s="11">
        <f t="shared" si="0"/>
        <v>1382</v>
      </c>
      <c r="I157" s="5" t="s">
        <v>46</v>
      </c>
    </row>
    <row r="158" spans="1:11" x14ac:dyDescent="0.3">
      <c r="A158" s="53"/>
      <c r="B158" s="39"/>
      <c r="C158" s="11"/>
      <c r="D158" s="11"/>
      <c r="E158" s="11"/>
      <c r="F158" s="11"/>
      <c r="G158" s="11"/>
      <c r="H158" s="16">
        <v>1384</v>
      </c>
      <c r="I158" s="5" t="s">
        <v>33</v>
      </c>
      <c r="J158" s="29" t="s">
        <v>136</v>
      </c>
    </row>
    <row r="159" spans="1:11" x14ac:dyDescent="0.3">
      <c r="A159" s="52">
        <v>77</v>
      </c>
      <c r="B159" s="38" t="s">
        <v>171</v>
      </c>
      <c r="C159" s="11" t="s">
        <v>38</v>
      </c>
      <c r="D159" s="11">
        <v>694</v>
      </c>
      <c r="E159" s="11">
        <v>16</v>
      </c>
      <c r="F159" s="11">
        <v>0.1</v>
      </c>
      <c r="G159" s="11">
        <v>1</v>
      </c>
      <c r="H159" s="5">
        <f t="shared" si="0"/>
        <v>1386</v>
      </c>
      <c r="I159" s="5" t="s">
        <v>11</v>
      </c>
      <c r="J159" s="8" t="s">
        <v>135</v>
      </c>
    </row>
    <row r="160" spans="1:11" x14ac:dyDescent="0.3">
      <c r="A160" s="53"/>
      <c r="B160" s="39"/>
      <c r="C160" s="11"/>
      <c r="D160" s="11"/>
      <c r="E160" s="11"/>
      <c r="F160" s="11"/>
      <c r="G160" s="11"/>
      <c r="H160" s="16">
        <v>1388</v>
      </c>
      <c r="I160" s="5" t="s">
        <v>33</v>
      </c>
      <c r="J160" s="29" t="s">
        <v>136</v>
      </c>
    </row>
    <row r="161" spans="1:11" x14ac:dyDescent="0.3">
      <c r="A161" s="52">
        <v>78</v>
      </c>
      <c r="B161" s="38" t="s">
        <v>172</v>
      </c>
      <c r="C161" s="11" t="s">
        <v>31</v>
      </c>
      <c r="D161" s="11">
        <v>698</v>
      </c>
      <c r="E161" s="11">
        <v>16</v>
      </c>
      <c r="F161" s="11">
        <v>0.1</v>
      </c>
      <c r="G161" s="11">
        <v>1</v>
      </c>
      <c r="H161" s="11">
        <f t="shared" si="0"/>
        <v>1394</v>
      </c>
      <c r="I161" s="5" t="s">
        <v>46</v>
      </c>
      <c r="K161" s="20" t="s">
        <v>16</v>
      </c>
    </row>
    <row r="162" spans="1:11" x14ac:dyDescent="0.3">
      <c r="A162" s="53"/>
      <c r="B162" s="39"/>
      <c r="C162" s="11"/>
      <c r="D162" s="11"/>
      <c r="E162" s="11"/>
      <c r="F162" s="11"/>
      <c r="G162" s="11"/>
      <c r="H162" s="16">
        <v>1396</v>
      </c>
      <c r="I162" s="5" t="s">
        <v>33</v>
      </c>
      <c r="J162" s="8" t="s">
        <v>133</v>
      </c>
    </row>
    <row r="163" spans="1:11" x14ac:dyDescent="0.3">
      <c r="A163" s="52">
        <v>79</v>
      </c>
      <c r="B163" s="40" t="s">
        <v>173</v>
      </c>
      <c r="C163" s="11" t="s">
        <v>31</v>
      </c>
      <c r="D163" s="11">
        <v>693</v>
      </c>
      <c r="E163" s="11"/>
      <c r="F163" s="11">
        <v>0.1</v>
      </c>
      <c r="G163" s="11"/>
      <c r="H163" s="11">
        <f t="shared" si="0"/>
        <v>1384</v>
      </c>
      <c r="I163" s="5" t="s">
        <v>11</v>
      </c>
      <c r="J163" s="8" t="s">
        <v>135</v>
      </c>
    </row>
    <row r="164" spans="1:11" x14ac:dyDescent="0.3">
      <c r="A164" s="53"/>
      <c r="B164" s="41"/>
      <c r="C164" s="11"/>
      <c r="D164" s="11"/>
      <c r="E164" s="11"/>
      <c r="F164" s="11"/>
      <c r="G164" s="11"/>
      <c r="H164" s="16">
        <v>1386</v>
      </c>
      <c r="I164" s="5" t="s">
        <v>33</v>
      </c>
      <c r="J164" s="29" t="s">
        <v>133</v>
      </c>
    </row>
    <row r="165" spans="1:11" x14ac:dyDescent="0.3">
      <c r="A165" s="52">
        <v>80</v>
      </c>
      <c r="B165" s="40" t="s">
        <v>174</v>
      </c>
      <c r="C165" s="11" t="s">
        <v>31</v>
      </c>
      <c r="D165" s="11">
        <v>695</v>
      </c>
      <c r="E165" s="11"/>
      <c r="F165" s="11">
        <v>0.1</v>
      </c>
      <c r="G165" s="11"/>
      <c r="H165" s="11">
        <f t="shared" si="0"/>
        <v>1388</v>
      </c>
      <c r="I165" s="5" t="s">
        <v>11</v>
      </c>
      <c r="J165" s="8" t="s">
        <v>135</v>
      </c>
    </row>
    <row r="166" spans="1:11" x14ac:dyDescent="0.3">
      <c r="A166" s="53"/>
      <c r="B166" s="41"/>
      <c r="C166" s="11"/>
      <c r="D166" s="11"/>
      <c r="E166" s="11"/>
      <c r="F166" s="11"/>
      <c r="G166" s="11"/>
      <c r="H166" s="16">
        <v>1390</v>
      </c>
      <c r="I166" s="5" t="s">
        <v>33</v>
      </c>
      <c r="J166" s="29" t="s">
        <v>133</v>
      </c>
    </row>
    <row r="167" spans="1:11" x14ac:dyDescent="0.3">
      <c r="A167" s="52">
        <v>81</v>
      </c>
      <c r="B167" s="35" t="s">
        <v>175</v>
      </c>
      <c r="C167" s="11"/>
      <c r="D167" s="11">
        <v>703</v>
      </c>
      <c r="E167" s="11"/>
      <c r="F167" s="11"/>
      <c r="G167" s="11"/>
      <c r="H167" s="11">
        <f t="shared" si="0"/>
        <v>1404</v>
      </c>
      <c r="I167" s="5"/>
      <c r="J167" s="8" t="s">
        <v>154</v>
      </c>
    </row>
    <row r="168" spans="1:11" x14ac:dyDescent="0.3">
      <c r="A168" s="53"/>
      <c r="B168" s="36"/>
      <c r="C168" s="11"/>
      <c r="D168" s="11"/>
      <c r="E168" s="11"/>
      <c r="F168" s="11"/>
      <c r="G168" s="11"/>
      <c r="H168" s="16">
        <v>1406</v>
      </c>
      <c r="I168" s="5" t="s">
        <v>33</v>
      </c>
    </row>
    <row r="169" spans="1:11" x14ac:dyDescent="0.3">
      <c r="A169" s="52">
        <v>82</v>
      </c>
      <c r="B169" s="35" t="s">
        <v>176</v>
      </c>
      <c r="C169" s="11"/>
      <c r="D169" s="11">
        <v>704</v>
      </c>
      <c r="E169" s="11"/>
      <c r="F169" s="11"/>
      <c r="G169" s="11"/>
      <c r="H169" s="11">
        <f t="shared" si="0"/>
        <v>1406</v>
      </c>
      <c r="I169" s="5"/>
      <c r="J169" s="8" t="s">
        <v>154</v>
      </c>
    </row>
    <row r="170" spans="1:11" x14ac:dyDescent="0.3">
      <c r="A170" s="53"/>
      <c r="B170" s="36"/>
      <c r="C170" s="11"/>
      <c r="D170" s="11"/>
      <c r="E170" s="11"/>
      <c r="F170" s="11"/>
      <c r="G170" s="11"/>
      <c r="H170" s="16">
        <v>1408</v>
      </c>
      <c r="I170" s="5" t="s">
        <v>33</v>
      </c>
    </row>
    <row r="171" spans="1:11" x14ac:dyDescent="0.3">
      <c r="A171" s="52">
        <v>83</v>
      </c>
      <c r="B171" s="35" t="s">
        <v>177</v>
      </c>
      <c r="C171" s="11"/>
      <c r="D171" s="11">
        <v>705</v>
      </c>
      <c r="E171" s="11"/>
      <c r="F171" s="11"/>
      <c r="G171" s="11"/>
      <c r="H171" s="11">
        <f t="shared" si="0"/>
        <v>1408</v>
      </c>
      <c r="I171" s="5"/>
      <c r="J171" s="8" t="s">
        <v>154</v>
      </c>
    </row>
    <row r="172" spans="1:11" x14ac:dyDescent="0.3">
      <c r="A172" s="53"/>
      <c r="B172" s="36"/>
      <c r="C172" s="11"/>
      <c r="D172" s="11"/>
      <c r="E172" s="11"/>
      <c r="F172" s="11"/>
      <c r="G172" s="11"/>
      <c r="H172" s="16">
        <v>1410</v>
      </c>
      <c r="I172" s="5" t="s">
        <v>33</v>
      </c>
    </row>
    <row r="173" spans="1:11" x14ac:dyDescent="0.3">
      <c r="A173" s="52">
        <v>84</v>
      </c>
      <c r="B173" s="35" t="s">
        <v>178</v>
      </c>
      <c r="C173" s="11"/>
      <c r="D173" s="11">
        <v>706</v>
      </c>
      <c r="E173" s="11"/>
      <c r="F173" s="11"/>
      <c r="G173" s="11"/>
      <c r="H173" s="11">
        <f t="shared" si="0"/>
        <v>1410</v>
      </c>
      <c r="I173" s="5"/>
      <c r="J173" s="8" t="s">
        <v>154</v>
      </c>
    </row>
    <row r="174" spans="1:11" x14ac:dyDescent="0.3">
      <c r="A174" s="53"/>
      <c r="B174" s="36"/>
      <c r="C174" s="11"/>
      <c r="D174" s="11"/>
      <c r="E174" s="11"/>
      <c r="F174" s="11"/>
      <c r="G174" s="11"/>
      <c r="H174" s="16">
        <v>1412</v>
      </c>
      <c r="I174" s="5" t="s">
        <v>33</v>
      </c>
    </row>
    <row r="175" spans="1:11" x14ac:dyDescent="0.3">
      <c r="A175" s="54">
        <v>85</v>
      </c>
      <c r="B175" s="33" t="s">
        <v>179</v>
      </c>
      <c r="C175" s="11"/>
      <c r="D175" s="11">
        <v>709</v>
      </c>
      <c r="E175" s="11"/>
      <c r="F175" s="11"/>
      <c r="G175" s="11"/>
      <c r="H175" s="11">
        <f t="shared" si="0"/>
        <v>1416</v>
      </c>
      <c r="I175" s="5"/>
      <c r="J175" s="8" t="s">
        <v>154</v>
      </c>
    </row>
    <row r="176" spans="1:11" x14ac:dyDescent="0.3">
      <c r="A176" s="54"/>
      <c r="B176" s="33"/>
      <c r="C176" s="11"/>
      <c r="D176" s="11"/>
      <c r="E176" s="11"/>
      <c r="F176" s="11"/>
      <c r="G176" s="11"/>
      <c r="H176" s="16">
        <v>1418</v>
      </c>
      <c r="I176" s="5" t="s">
        <v>33</v>
      </c>
      <c r="J176" s="8" t="s">
        <v>180</v>
      </c>
    </row>
    <row r="177" spans="1:10" customFormat="1" x14ac:dyDescent="0.3">
      <c r="A177" s="55">
        <v>86</v>
      </c>
      <c r="B177" s="37" t="s">
        <v>181</v>
      </c>
      <c r="C177" s="11" t="s">
        <v>31</v>
      </c>
      <c r="D177" s="11">
        <v>787</v>
      </c>
      <c r="E177" s="11">
        <v>16</v>
      </c>
      <c r="F177" s="11">
        <v>1</v>
      </c>
      <c r="G177" s="11">
        <v>1</v>
      </c>
      <c r="H177" s="11">
        <f t="shared" ref="H177" si="1">(D177-1)*2</f>
        <v>1572</v>
      </c>
      <c r="I177" s="5" t="s">
        <v>11</v>
      </c>
    </row>
    <row r="178" spans="1:10" x14ac:dyDescent="0.3">
      <c r="A178" s="55"/>
      <c r="B178" s="37"/>
      <c r="C178" s="11"/>
      <c r="D178" s="11"/>
      <c r="E178" s="11"/>
      <c r="F178" s="11"/>
      <c r="G178" s="11"/>
      <c r="H178" s="16">
        <v>1575</v>
      </c>
      <c r="I178" s="5" t="s">
        <v>14</v>
      </c>
      <c r="J178" s="23" t="s">
        <v>130</v>
      </c>
    </row>
    <row r="179" spans="1:10" x14ac:dyDescent="0.3">
      <c r="A179" s="48">
        <v>87</v>
      </c>
      <c r="B179" s="37" t="s">
        <v>182</v>
      </c>
      <c r="C179" s="11" t="s">
        <v>31</v>
      </c>
      <c r="D179" s="11">
        <v>782</v>
      </c>
      <c r="E179" s="11">
        <v>16</v>
      </c>
      <c r="F179" s="11">
        <v>0.1</v>
      </c>
      <c r="G179" s="11">
        <v>1</v>
      </c>
      <c r="H179" s="11">
        <f t="shared" ref="H179" si="2">(D179-1)*2</f>
        <v>1562</v>
      </c>
      <c r="I179" s="5" t="s">
        <v>46</v>
      </c>
    </row>
    <row r="180" spans="1:10" x14ac:dyDescent="0.3">
      <c r="A180" s="48"/>
      <c r="B180" s="37"/>
      <c r="C180" s="11"/>
      <c r="D180" s="11"/>
      <c r="E180" s="11"/>
      <c r="F180" s="11"/>
      <c r="G180" s="11"/>
      <c r="H180" s="16">
        <v>1564</v>
      </c>
      <c r="I180" s="5" t="s">
        <v>33</v>
      </c>
    </row>
    <row r="181" spans="1:10" x14ac:dyDescent="0.3">
      <c r="A181" s="48">
        <v>88</v>
      </c>
      <c r="B181" s="37" t="s">
        <v>183</v>
      </c>
      <c r="C181" s="11" t="s">
        <v>38</v>
      </c>
      <c r="D181" s="11">
        <v>784</v>
      </c>
      <c r="E181" s="11">
        <v>16</v>
      </c>
      <c r="F181" s="11">
        <v>0.1</v>
      </c>
      <c r="G181" s="11">
        <v>1</v>
      </c>
      <c r="H181" s="5">
        <f t="shared" ref="H181" si="3">(D181-1)*2</f>
        <v>1566</v>
      </c>
      <c r="I181" s="5" t="s">
        <v>11</v>
      </c>
    </row>
    <row r="182" spans="1:10" x14ac:dyDescent="0.3">
      <c r="A182" s="48"/>
      <c r="B182" s="37"/>
      <c r="C182" s="11"/>
      <c r="D182" s="11"/>
      <c r="E182" s="11"/>
      <c r="F182" s="11"/>
      <c r="G182" s="11"/>
      <c r="H182" s="16">
        <v>1568</v>
      </c>
      <c r="I182" s="5" t="s">
        <v>33</v>
      </c>
    </row>
    <row r="183" spans="1:10" x14ac:dyDescent="0.3">
      <c r="A183" s="48">
        <v>89</v>
      </c>
      <c r="B183" s="37" t="s">
        <v>184</v>
      </c>
      <c r="C183" s="11" t="s">
        <v>31</v>
      </c>
      <c r="D183" s="11">
        <v>788</v>
      </c>
      <c r="E183" s="11">
        <v>16</v>
      </c>
      <c r="F183" s="11">
        <v>0.1</v>
      </c>
      <c r="G183" s="11">
        <v>1</v>
      </c>
      <c r="H183" s="11">
        <f t="shared" ref="H183" si="4">(D183-1)*2</f>
        <v>1574</v>
      </c>
      <c r="I183" s="5" t="s">
        <v>46</v>
      </c>
    </row>
    <row r="184" spans="1:10" x14ac:dyDescent="0.3">
      <c r="A184" s="48"/>
      <c r="B184" s="37"/>
      <c r="C184" s="11"/>
      <c r="D184" s="11"/>
      <c r="E184" s="11"/>
      <c r="F184" s="11"/>
      <c r="G184" s="11"/>
      <c r="H184" s="16">
        <v>1576</v>
      </c>
      <c r="I184" s="5" t="s">
        <v>33</v>
      </c>
    </row>
    <row r="185" spans="1:10" x14ac:dyDescent="0.3">
      <c r="A185" s="48">
        <v>90</v>
      </c>
      <c r="B185" s="33" t="s">
        <v>185</v>
      </c>
      <c r="C185" s="11" t="s">
        <v>31</v>
      </c>
      <c r="D185" s="11">
        <v>783</v>
      </c>
      <c r="E185" s="11"/>
      <c r="F185" s="11">
        <v>0.1</v>
      </c>
      <c r="G185" s="11"/>
      <c r="H185" s="11">
        <f t="shared" ref="H185" si="5">(D185-1)*2</f>
        <v>1564</v>
      </c>
      <c r="I185" s="5" t="s">
        <v>11</v>
      </c>
    </row>
    <row r="186" spans="1:10" x14ac:dyDescent="0.3">
      <c r="A186" s="48"/>
      <c r="B186" s="33"/>
      <c r="C186" s="11"/>
      <c r="D186" s="11"/>
      <c r="E186" s="11"/>
      <c r="F186" s="11"/>
      <c r="G186" s="11"/>
      <c r="H186" s="16">
        <v>1566</v>
      </c>
      <c r="I186" s="5" t="s">
        <v>33</v>
      </c>
      <c r="J186" s="29" t="s">
        <v>133</v>
      </c>
    </row>
    <row r="187" spans="1:10" x14ac:dyDescent="0.3">
      <c r="A187" s="48">
        <v>91</v>
      </c>
      <c r="B187" s="33" t="s">
        <v>186</v>
      </c>
      <c r="C187" s="11" t="s">
        <v>31</v>
      </c>
      <c r="D187" s="11">
        <v>785</v>
      </c>
      <c r="E187" s="11"/>
      <c r="F187" s="11">
        <v>0.1</v>
      </c>
      <c r="G187" s="11"/>
      <c r="H187" s="11">
        <f t="shared" ref="H187" si="6">(D187-1)*2</f>
        <v>1568</v>
      </c>
      <c r="I187" s="5" t="s">
        <v>11</v>
      </c>
    </row>
    <row r="188" spans="1:10" x14ac:dyDescent="0.3">
      <c r="A188" s="48"/>
      <c r="B188" s="33"/>
      <c r="C188" s="11"/>
      <c r="D188" s="11"/>
      <c r="E188" s="11"/>
      <c r="F188" s="11"/>
      <c r="G188" s="11"/>
      <c r="H188" s="16">
        <v>1570</v>
      </c>
      <c r="I188" s="5" t="s">
        <v>33</v>
      </c>
      <c r="J188" s="29" t="s">
        <v>133</v>
      </c>
    </row>
    <row r="189" spans="1:10" x14ac:dyDescent="0.3">
      <c r="A189" s="48">
        <v>92</v>
      </c>
      <c r="B189" s="34" t="s">
        <v>187</v>
      </c>
      <c r="C189" s="11"/>
      <c r="D189" s="11">
        <v>793</v>
      </c>
      <c r="E189" s="11"/>
      <c r="F189" s="11"/>
      <c r="G189" s="11"/>
      <c r="H189" s="11">
        <f t="shared" ref="H189:H197" si="7">(D189-1)*2</f>
        <v>1584</v>
      </c>
      <c r="I189" s="5"/>
    </row>
    <row r="190" spans="1:10" x14ac:dyDescent="0.3">
      <c r="A190" s="48"/>
      <c r="B190" s="34"/>
      <c r="C190" s="11"/>
      <c r="D190" s="11"/>
      <c r="E190" s="11"/>
      <c r="F190" s="11"/>
      <c r="G190" s="11"/>
      <c r="H190" s="16">
        <v>1586</v>
      </c>
      <c r="I190" s="5" t="s">
        <v>33</v>
      </c>
    </row>
    <row r="191" spans="1:10" x14ac:dyDescent="0.3">
      <c r="A191" s="48">
        <v>93</v>
      </c>
      <c r="B191" s="34" t="s">
        <v>188</v>
      </c>
      <c r="C191" s="11"/>
      <c r="D191" s="11">
        <v>794</v>
      </c>
      <c r="E191" s="11"/>
      <c r="F191" s="11"/>
      <c r="G191" s="11"/>
      <c r="H191" s="11">
        <f t="shared" si="7"/>
        <v>1586</v>
      </c>
      <c r="I191" s="5"/>
    </row>
    <row r="192" spans="1:10" x14ac:dyDescent="0.3">
      <c r="A192" s="48"/>
      <c r="B192" s="34"/>
      <c r="C192" s="11"/>
      <c r="D192" s="11"/>
      <c r="E192" s="11"/>
      <c r="F192" s="11"/>
      <c r="G192" s="11"/>
      <c r="H192" s="16">
        <v>1588</v>
      </c>
      <c r="I192" s="5" t="s">
        <v>33</v>
      </c>
    </row>
    <row r="193" spans="1:10" x14ac:dyDescent="0.3">
      <c r="A193" s="48">
        <v>94</v>
      </c>
      <c r="B193" s="34" t="s">
        <v>189</v>
      </c>
      <c r="C193" s="11"/>
      <c r="D193" s="11">
        <v>795</v>
      </c>
      <c r="E193" s="11"/>
      <c r="F193" s="11"/>
      <c r="G193" s="11"/>
      <c r="H193" s="11">
        <f t="shared" si="7"/>
        <v>1588</v>
      </c>
      <c r="I193" s="5"/>
    </row>
    <row r="194" spans="1:10" x14ac:dyDescent="0.3">
      <c r="A194" s="48"/>
      <c r="B194" s="34"/>
      <c r="C194" s="11"/>
      <c r="D194" s="11"/>
      <c r="E194" s="11"/>
      <c r="F194" s="11"/>
      <c r="G194" s="11"/>
      <c r="H194" s="16">
        <v>1590</v>
      </c>
      <c r="I194" s="5" t="s">
        <v>33</v>
      </c>
    </row>
    <row r="195" spans="1:10" x14ac:dyDescent="0.3">
      <c r="A195" s="48">
        <v>95</v>
      </c>
      <c r="B195" s="34" t="s">
        <v>190</v>
      </c>
      <c r="C195" s="11"/>
      <c r="D195" s="11">
        <v>796</v>
      </c>
      <c r="E195" s="11"/>
      <c r="F195" s="11"/>
      <c r="G195" s="11"/>
      <c r="H195" s="11">
        <f t="shared" si="7"/>
        <v>1590</v>
      </c>
      <c r="I195" s="5"/>
    </row>
    <row r="196" spans="1:10" x14ac:dyDescent="0.3">
      <c r="A196" s="48"/>
      <c r="B196" s="34"/>
      <c r="C196" s="11"/>
      <c r="D196" s="11"/>
      <c r="E196" s="11"/>
      <c r="F196" s="11"/>
      <c r="G196" s="11"/>
      <c r="H196" s="16">
        <v>1592</v>
      </c>
      <c r="I196" s="5" t="s">
        <v>33</v>
      </c>
    </row>
    <row r="197" spans="1:10" x14ac:dyDescent="0.3">
      <c r="A197" s="48">
        <v>96</v>
      </c>
      <c r="B197" s="33" t="s">
        <v>191</v>
      </c>
      <c r="C197" s="11"/>
      <c r="D197" s="11">
        <v>799</v>
      </c>
      <c r="E197" s="11"/>
      <c r="F197" s="11"/>
      <c r="G197" s="11"/>
      <c r="H197" s="11">
        <f t="shared" si="7"/>
        <v>1596</v>
      </c>
      <c r="I197" s="5"/>
    </row>
    <row r="198" spans="1:10" x14ac:dyDescent="0.3">
      <c r="A198" s="48"/>
      <c r="B198" s="33"/>
      <c r="C198" s="11"/>
      <c r="D198" s="11"/>
      <c r="E198" s="11"/>
      <c r="F198" s="11"/>
      <c r="G198" s="11"/>
      <c r="H198" s="16">
        <v>1598</v>
      </c>
      <c r="I198" s="5" t="s">
        <v>33</v>
      </c>
      <c r="J198" s="8" t="s">
        <v>192</v>
      </c>
    </row>
    <row r="199" spans="1:10" x14ac:dyDescent="0.3">
      <c r="A199" s="10"/>
      <c r="B199" s="31" t="s">
        <v>193</v>
      </c>
      <c r="C199" s="11"/>
      <c r="D199" s="11">
        <v>77</v>
      </c>
      <c r="E199" s="11">
        <v>16</v>
      </c>
      <c r="F199" s="11">
        <v>1</v>
      </c>
      <c r="G199" s="11">
        <v>0</v>
      </c>
      <c r="H199" s="11">
        <f>D199*2</f>
        <v>154</v>
      </c>
      <c r="I199" s="5" t="s">
        <v>33</v>
      </c>
      <c r="J199" s="26" t="s">
        <v>194</v>
      </c>
    </row>
    <row r="200" spans="1:10" x14ac:dyDescent="0.3">
      <c r="A200" s="10"/>
      <c r="B200" s="31" t="s">
        <v>195</v>
      </c>
      <c r="C200" s="11"/>
      <c r="D200" s="11">
        <v>78</v>
      </c>
      <c r="E200" s="11">
        <v>16</v>
      </c>
      <c r="F200" s="11">
        <v>1</v>
      </c>
      <c r="G200" s="11">
        <v>0</v>
      </c>
      <c r="H200" s="11">
        <f t="shared" ref="H200:H205" si="8">D200*2</f>
        <v>156</v>
      </c>
      <c r="I200" s="5" t="s">
        <v>33</v>
      </c>
    </row>
    <row r="201" spans="1:10" x14ac:dyDescent="0.3">
      <c r="A201" s="10"/>
      <c r="B201" s="31" t="s">
        <v>196</v>
      </c>
      <c r="C201" s="11"/>
      <c r="D201" s="11">
        <v>79</v>
      </c>
      <c r="E201" s="11">
        <v>16</v>
      </c>
      <c r="F201" s="11">
        <v>1</v>
      </c>
      <c r="G201" s="11">
        <v>0</v>
      </c>
      <c r="H201" s="11">
        <f t="shared" si="8"/>
        <v>158</v>
      </c>
      <c r="I201" s="5"/>
    </row>
    <row r="202" spans="1:10" x14ac:dyDescent="0.3">
      <c r="A202" s="10"/>
      <c r="B202" s="31" t="s">
        <v>197</v>
      </c>
      <c r="C202" s="11"/>
      <c r="D202" s="11">
        <v>80</v>
      </c>
      <c r="E202" s="11">
        <v>16</v>
      </c>
      <c r="F202" s="11">
        <v>1</v>
      </c>
      <c r="G202" s="11">
        <v>0</v>
      </c>
      <c r="H202" s="11">
        <f t="shared" si="8"/>
        <v>160</v>
      </c>
      <c r="I202" s="5"/>
    </row>
    <row r="203" spans="1:10" x14ac:dyDescent="0.3">
      <c r="A203" s="10"/>
      <c r="B203" s="31" t="s">
        <v>198</v>
      </c>
      <c r="C203" s="11"/>
      <c r="D203" s="11">
        <v>81</v>
      </c>
      <c r="E203" s="11">
        <v>16</v>
      </c>
      <c r="F203" s="11">
        <v>1</v>
      </c>
      <c r="G203" s="11">
        <v>0</v>
      </c>
      <c r="H203" s="11">
        <f t="shared" si="8"/>
        <v>162</v>
      </c>
      <c r="I203" s="5"/>
    </row>
    <row r="204" spans="1:10" x14ac:dyDescent="0.3">
      <c r="A204" s="10"/>
      <c r="B204" s="14" t="s">
        <v>199</v>
      </c>
      <c r="C204" s="11"/>
      <c r="D204" s="11">
        <v>85</v>
      </c>
      <c r="E204" s="11">
        <v>16</v>
      </c>
      <c r="F204" s="11">
        <v>1</v>
      </c>
      <c r="G204" s="11">
        <v>0</v>
      </c>
      <c r="H204" s="11">
        <f t="shared" si="8"/>
        <v>170</v>
      </c>
      <c r="I204" s="5"/>
    </row>
    <row r="205" spans="1:10" x14ac:dyDescent="0.3">
      <c r="A205" s="10"/>
      <c r="B205" s="31" t="s">
        <v>200</v>
      </c>
      <c r="C205" s="11"/>
      <c r="D205" s="11">
        <v>86</v>
      </c>
      <c r="E205" s="11">
        <v>16</v>
      </c>
      <c r="F205" s="11">
        <v>1</v>
      </c>
      <c r="G205" s="15">
        <v>0</v>
      </c>
      <c r="H205" s="11">
        <f t="shared" si="8"/>
        <v>172</v>
      </c>
      <c r="I205" s="5">
        <v>192</v>
      </c>
      <c r="J205" s="26" t="s">
        <v>201</v>
      </c>
    </row>
    <row r="206" spans="1:10" x14ac:dyDescent="0.3">
      <c r="H206" s="11">
        <v>173</v>
      </c>
      <c r="I206" s="32">
        <v>168</v>
      </c>
    </row>
    <row r="207" spans="1:10" x14ac:dyDescent="0.3">
      <c r="H207" s="11">
        <v>174</v>
      </c>
      <c r="I207" s="32">
        <v>0</v>
      </c>
    </row>
    <row r="208" spans="1:10" x14ac:dyDescent="0.3">
      <c r="H208" s="11">
        <v>175</v>
      </c>
      <c r="I208" s="32">
        <v>254</v>
      </c>
    </row>
  </sheetData>
  <mergeCells count="193">
    <mergeCell ref="A2:A3"/>
    <mergeCell ref="A4:A5"/>
    <mergeCell ref="A6:A7"/>
    <mergeCell ref="A8:A9"/>
    <mergeCell ref="A10:A11"/>
    <mergeCell ref="A12:A13"/>
    <mergeCell ref="A14:A15"/>
    <mergeCell ref="A16:A19"/>
    <mergeCell ref="A20:A21"/>
    <mergeCell ref="A22:A23"/>
    <mergeCell ref="A24:A25"/>
    <mergeCell ref="A26:A27"/>
    <mergeCell ref="A28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85:B186"/>
    <mergeCell ref="B187:B188"/>
    <mergeCell ref="B189:B190"/>
    <mergeCell ref="B191:B192"/>
    <mergeCell ref="B193:B194"/>
    <mergeCell ref="B195:B196"/>
    <mergeCell ref="B197:B198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</mergeCells>
  <phoneticPr fontId="5" type="noConversion"/>
  <pageMargins left="0.7" right="0.7" top="0.75" bottom="0.75" header="0.3" footer="0.3"/>
  <pageSetup paperSize="9" orientation="portrait" horizontalDpi="1200" verticalDpi="12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G12"/>
  <sheetViews>
    <sheetView workbookViewId="0">
      <selection activeCell="I4" sqref="I4"/>
    </sheetView>
  </sheetViews>
  <sheetFormatPr defaultColWidth="9" defaultRowHeight="14" x14ac:dyDescent="0.3"/>
  <cols>
    <col min="5" max="5" width="12.58203125" customWidth="1"/>
    <col min="7" max="7" width="17.08203125" customWidth="1"/>
  </cols>
  <sheetData>
    <row r="3" spans="3:7" x14ac:dyDescent="0.3">
      <c r="C3" s="6"/>
      <c r="D3" s="6" t="s">
        <v>202</v>
      </c>
      <c r="E3" s="6" t="s">
        <v>203</v>
      </c>
      <c r="F3" s="6" t="s">
        <v>204</v>
      </c>
      <c r="G3" s="6"/>
    </row>
    <row r="4" spans="3:7" x14ac:dyDescent="0.3">
      <c r="C4" s="6">
        <v>40000</v>
      </c>
      <c r="D4" s="6">
        <v>222</v>
      </c>
      <c r="E4" s="6">
        <f>C4+D4</f>
        <v>40222</v>
      </c>
      <c r="F4" s="6">
        <f t="shared" ref="F4:F12" si="0">(E4-40001)*2</f>
        <v>442</v>
      </c>
      <c r="G4" s="6" t="s">
        <v>205</v>
      </c>
    </row>
    <row r="5" spans="3:7" x14ac:dyDescent="0.3">
      <c r="C5" s="6">
        <v>40000</v>
      </c>
      <c r="D5" s="6">
        <v>228</v>
      </c>
      <c r="E5" s="6">
        <f t="shared" ref="E5:E12" si="1">C5+D5</f>
        <v>40228</v>
      </c>
      <c r="F5" s="6">
        <f t="shared" si="0"/>
        <v>454</v>
      </c>
      <c r="G5" s="6" t="s">
        <v>64</v>
      </c>
    </row>
    <row r="6" spans="3:7" x14ac:dyDescent="0.3">
      <c r="C6" s="6">
        <v>40000</v>
      </c>
      <c r="D6" s="6">
        <v>44</v>
      </c>
      <c r="E6" s="6">
        <f t="shared" si="1"/>
        <v>40044</v>
      </c>
      <c r="F6" s="6">
        <f t="shared" si="0"/>
        <v>86</v>
      </c>
      <c r="G6" s="6"/>
    </row>
    <row r="7" spans="3:7" x14ac:dyDescent="0.3">
      <c r="C7" s="6">
        <v>40000</v>
      </c>
      <c r="D7" s="6">
        <v>45</v>
      </c>
      <c r="E7" s="6">
        <f t="shared" si="1"/>
        <v>40045</v>
      </c>
      <c r="F7" s="6">
        <f t="shared" si="0"/>
        <v>88</v>
      </c>
      <c r="G7" s="6"/>
    </row>
    <row r="8" spans="3:7" x14ac:dyDescent="0.3">
      <c r="C8" s="6">
        <v>40000</v>
      </c>
      <c r="D8" s="6">
        <v>51</v>
      </c>
      <c r="E8" s="6">
        <f t="shared" si="1"/>
        <v>40051</v>
      </c>
      <c r="F8" s="6">
        <f t="shared" si="0"/>
        <v>100</v>
      </c>
      <c r="G8" s="6"/>
    </row>
    <row r="9" spans="3:7" x14ac:dyDescent="0.3">
      <c r="C9" s="6">
        <v>40000</v>
      </c>
      <c r="D9" s="6">
        <v>163</v>
      </c>
      <c r="E9" s="6">
        <f t="shared" si="1"/>
        <v>40163</v>
      </c>
      <c r="F9" s="6">
        <f t="shared" si="0"/>
        <v>324</v>
      </c>
      <c r="G9" s="6"/>
    </row>
    <row r="10" spans="3:7" x14ac:dyDescent="0.3">
      <c r="C10" s="6">
        <v>40000</v>
      </c>
      <c r="D10" s="6">
        <v>90</v>
      </c>
      <c r="E10" s="6">
        <f t="shared" si="1"/>
        <v>40090</v>
      </c>
      <c r="F10" s="6">
        <f t="shared" si="0"/>
        <v>178</v>
      </c>
      <c r="G10" s="6"/>
    </row>
    <row r="11" spans="3:7" x14ac:dyDescent="0.3">
      <c r="C11" s="6">
        <v>40000</v>
      </c>
      <c r="D11" s="6">
        <v>221</v>
      </c>
      <c r="E11" s="6">
        <f t="shared" si="1"/>
        <v>40221</v>
      </c>
      <c r="F11" s="6">
        <f t="shared" si="0"/>
        <v>440</v>
      </c>
      <c r="G11" s="6"/>
    </row>
    <row r="12" spans="3:7" x14ac:dyDescent="0.3">
      <c r="C12" s="6">
        <v>40000</v>
      </c>
      <c r="D12" s="6"/>
      <c r="E12" s="6">
        <f t="shared" si="1"/>
        <v>40000</v>
      </c>
      <c r="F12" s="6">
        <f t="shared" si="0"/>
        <v>-2</v>
      </c>
      <c r="G1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B47" sqref="B47"/>
    </sheetView>
  </sheetViews>
  <sheetFormatPr defaultColWidth="9" defaultRowHeight="14" x14ac:dyDescent="0.3"/>
  <cols>
    <col min="1" max="1" width="28.33203125" customWidth="1"/>
    <col min="3" max="4" width="8.08203125" customWidth="1"/>
    <col min="5" max="5" width="40.83203125" customWidth="1"/>
    <col min="6" max="6" width="26.5" customWidth="1"/>
    <col min="7" max="7" width="48.83203125" customWidth="1"/>
  </cols>
  <sheetData>
    <row r="1" spans="1:7" x14ac:dyDescent="0.3">
      <c r="A1" s="4" t="s">
        <v>206</v>
      </c>
      <c r="B1" s="4" t="s">
        <v>207</v>
      </c>
      <c r="C1" s="4" t="s">
        <v>8</v>
      </c>
      <c r="D1" s="4" t="s">
        <v>208</v>
      </c>
      <c r="E1" s="4" t="s">
        <v>208</v>
      </c>
      <c r="F1" s="4"/>
      <c r="G1" s="1"/>
    </row>
    <row r="2" spans="1:7" x14ac:dyDescent="0.3">
      <c r="A2" s="5" t="s">
        <v>92</v>
      </c>
      <c r="B2" s="5">
        <v>388</v>
      </c>
      <c r="C2" s="5" t="s">
        <v>33</v>
      </c>
      <c r="D2" s="5">
        <v>1</v>
      </c>
      <c r="E2" s="5" t="s">
        <v>209</v>
      </c>
      <c r="F2" s="5" t="s">
        <v>94</v>
      </c>
      <c r="G2" s="5" t="s">
        <v>210</v>
      </c>
    </row>
    <row r="3" spans="1:7" x14ac:dyDescent="0.3">
      <c r="A3" s="5" t="s">
        <v>96</v>
      </c>
      <c r="B3" s="5">
        <v>388</v>
      </c>
      <c r="C3" s="5" t="s">
        <v>33</v>
      </c>
      <c r="D3" s="5">
        <v>2</v>
      </c>
      <c r="E3" s="5" t="s">
        <v>211</v>
      </c>
      <c r="F3" s="5" t="s">
        <v>98</v>
      </c>
      <c r="G3" s="5" t="s">
        <v>212</v>
      </c>
    </row>
    <row r="4" spans="1:7" x14ac:dyDescent="0.3">
      <c r="A4" s="5" t="s">
        <v>100</v>
      </c>
      <c r="B4" s="5">
        <v>388</v>
      </c>
      <c r="C4" s="5" t="s">
        <v>33</v>
      </c>
      <c r="D4" s="5">
        <v>4</v>
      </c>
      <c r="E4" s="5" t="s">
        <v>213</v>
      </c>
      <c r="F4" s="5" t="s">
        <v>102</v>
      </c>
      <c r="G4" s="5" t="s">
        <v>214</v>
      </c>
    </row>
    <row r="5" spans="1:7" x14ac:dyDescent="0.3">
      <c r="A5" s="5" t="s">
        <v>104</v>
      </c>
      <c r="B5" s="5">
        <v>388</v>
      </c>
      <c r="C5" s="5" t="s">
        <v>33</v>
      </c>
      <c r="D5" s="5">
        <v>8</v>
      </c>
      <c r="E5" s="5" t="s">
        <v>215</v>
      </c>
      <c r="F5" s="5" t="s">
        <v>106</v>
      </c>
      <c r="G5" s="5" t="s">
        <v>216</v>
      </c>
    </row>
    <row r="6" spans="1:7" x14ac:dyDescent="0.3">
      <c r="A6" s="5" t="s">
        <v>108</v>
      </c>
      <c r="B6" s="5">
        <v>388</v>
      </c>
      <c r="C6" s="5" t="s">
        <v>33</v>
      </c>
      <c r="D6" s="5">
        <v>16</v>
      </c>
      <c r="E6" s="5" t="s">
        <v>217</v>
      </c>
      <c r="F6" s="5" t="s">
        <v>110</v>
      </c>
      <c r="G6" s="5" t="s">
        <v>218</v>
      </c>
    </row>
    <row r="7" spans="1:7" x14ac:dyDescent="0.3">
      <c r="A7" s="5" t="s">
        <v>112</v>
      </c>
      <c r="B7" s="5">
        <v>388</v>
      </c>
      <c r="C7" s="5" t="s">
        <v>33</v>
      </c>
      <c r="D7" s="5">
        <v>32</v>
      </c>
      <c r="E7" s="5" t="s">
        <v>219</v>
      </c>
      <c r="F7" s="5" t="s">
        <v>114</v>
      </c>
      <c r="G7" s="5" t="s">
        <v>220</v>
      </c>
    </row>
    <row r="8" spans="1:7" x14ac:dyDescent="0.3">
      <c r="A8" s="5" t="s">
        <v>116</v>
      </c>
      <c r="B8" s="5">
        <v>388</v>
      </c>
      <c r="C8" s="5" t="s">
        <v>33</v>
      </c>
      <c r="D8" s="5">
        <v>64</v>
      </c>
      <c r="E8" s="5" t="s">
        <v>221</v>
      </c>
      <c r="F8" s="5" t="s">
        <v>118</v>
      </c>
      <c r="G8" s="5" t="s">
        <v>222</v>
      </c>
    </row>
    <row r="9" spans="1:7" x14ac:dyDescent="0.3">
      <c r="A9" s="5" t="s">
        <v>120</v>
      </c>
      <c r="B9" s="5">
        <v>388</v>
      </c>
      <c r="C9" s="5" t="s">
        <v>33</v>
      </c>
      <c r="D9" s="5">
        <v>128</v>
      </c>
      <c r="E9" s="5" t="s">
        <v>223</v>
      </c>
      <c r="F9" s="5" t="s">
        <v>122</v>
      </c>
      <c r="G9" s="5" t="s">
        <v>224</v>
      </c>
    </row>
    <row r="10" spans="1:7" x14ac:dyDescent="0.3">
      <c r="A10" s="5" t="s">
        <v>124</v>
      </c>
      <c r="B10" s="5">
        <v>388</v>
      </c>
      <c r="C10" s="5" t="s">
        <v>33</v>
      </c>
      <c r="D10" s="5">
        <v>256</v>
      </c>
      <c r="E10" s="5" t="s">
        <v>225</v>
      </c>
      <c r="F10" s="5" t="s">
        <v>126</v>
      </c>
      <c r="G10" s="5" t="s">
        <v>226</v>
      </c>
    </row>
  </sheetData>
  <phoneticPr fontId="5" type="noConversion"/>
  <pageMargins left="0.7" right="0.7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M16"/>
  <sheetViews>
    <sheetView workbookViewId="0">
      <selection activeCell="D16" sqref="D16"/>
    </sheetView>
  </sheetViews>
  <sheetFormatPr defaultColWidth="9" defaultRowHeight="14" x14ac:dyDescent="0.3"/>
  <cols>
    <col min="4" max="4" width="18.08203125" customWidth="1"/>
    <col min="10" max="10" width="13.5" customWidth="1"/>
    <col min="13" max="13" width="38.83203125" customWidth="1"/>
  </cols>
  <sheetData>
    <row r="2" spans="3:13" x14ac:dyDescent="0.3">
      <c r="C2" s="1" t="s">
        <v>227</v>
      </c>
      <c r="D2" s="1" t="s">
        <v>228</v>
      </c>
      <c r="E2" s="1" t="s">
        <v>229</v>
      </c>
      <c r="F2" s="1" t="s">
        <v>230</v>
      </c>
      <c r="G2" s="1" t="s">
        <v>9</v>
      </c>
      <c r="I2" s="1" t="s">
        <v>231</v>
      </c>
      <c r="J2" s="1" t="s">
        <v>228</v>
      </c>
      <c r="K2" s="1" t="s">
        <v>229</v>
      </c>
      <c r="L2" s="1" t="s">
        <v>230</v>
      </c>
      <c r="M2" t="s">
        <v>9</v>
      </c>
    </row>
    <row r="3" spans="3:13" x14ac:dyDescent="0.3">
      <c r="C3" s="1" t="s">
        <v>232</v>
      </c>
      <c r="D3" s="1" t="s">
        <v>233</v>
      </c>
      <c r="E3" s="1" t="s">
        <v>234</v>
      </c>
      <c r="F3" s="1" t="s">
        <v>235</v>
      </c>
      <c r="G3" s="1"/>
      <c r="I3" s="1" t="s">
        <v>236</v>
      </c>
      <c r="J3" s="1" t="s">
        <v>237</v>
      </c>
      <c r="K3" s="1" t="s">
        <v>238</v>
      </c>
      <c r="L3" s="1" t="s">
        <v>235</v>
      </c>
      <c r="M3" t="s">
        <v>239</v>
      </c>
    </row>
    <row r="4" spans="3:13" x14ac:dyDescent="0.3">
      <c r="C4" s="1" t="s">
        <v>240</v>
      </c>
      <c r="D4" s="1" t="s">
        <v>241</v>
      </c>
      <c r="E4" s="1" t="s">
        <v>242</v>
      </c>
      <c r="F4" s="1" t="s">
        <v>235</v>
      </c>
      <c r="G4" s="1"/>
      <c r="I4" s="1" t="s">
        <v>243</v>
      </c>
      <c r="J4" s="1"/>
      <c r="K4" s="1" t="s">
        <v>244</v>
      </c>
      <c r="L4" s="1" t="s">
        <v>235</v>
      </c>
    </row>
    <row r="5" spans="3:13" x14ac:dyDescent="0.3">
      <c r="C5" s="1" t="s">
        <v>245</v>
      </c>
      <c r="D5" s="1" t="s">
        <v>246</v>
      </c>
      <c r="E5" s="1" t="s">
        <v>247</v>
      </c>
      <c r="F5" s="1" t="s">
        <v>235</v>
      </c>
      <c r="G5" s="1"/>
      <c r="I5" s="1" t="s">
        <v>248</v>
      </c>
      <c r="J5" s="1"/>
      <c r="K5" s="1" t="s">
        <v>249</v>
      </c>
      <c r="L5" s="1" t="s">
        <v>235</v>
      </c>
    </row>
    <row r="6" spans="3:13" x14ac:dyDescent="0.3">
      <c r="C6" s="1" t="s">
        <v>250</v>
      </c>
      <c r="D6" s="1" t="s">
        <v>246</v>
      </c>
      <c r="E6" s="1" t="s">
        <v>251</v>
      </c>
      <c r="F6" s="1" t="s">
        <v>235</v>
      </c>
      <c r="G6" s="1"/>
      <c r="I6" s="1" t="s">
        <v>252</v>
      </c>
      <c r="J6" s="1"/>
      <c r="K6" s="1" t="s">
        <v>253</v>
      </c>
      <c r="L6" s="1" t="s">
        <v>235</v>
      </c>
    </row>
    <row r="7" spans="3:13" x14ac:dyDescent="0.3">
      <c r="C7" s="1" t="s">
        <v>254</v>
      </c>
      <c r="D7" s="1" t="s">
        <v>246</v>
      </c>
      <c r="E7" s="1" t="s">
        <v>255</v>
      </c>
      <c r="F7" s="1" t="s">
        <v>235</v>
      </c>
      <c r="G7" s="1"/>
      <c r="I7" s="1" t="s">
        <v>256</v>
      </c>
      <c r="J7" s="1"/>
      <c r="K7" s="1" t="s">
        <v>257</v>
      </c>
      <c r="L7" s="1" t="s">
        <v>235</v>
      </c>
    </row>
    <row r="8" spans="3:13" x14ac:dyDescent="0.3">
      <c r="C8" s="1" t="s">
        <v>258</v>
      </c>
      <c r="D8" s="1" t="s">
        <v>246</v>
      </c>
      <c r="E8" s="1" t="s">
        <v>259</v>
      </c>
      <c r="F8" s="1" t="s">
        <v>235</v>
      </c>
      <c r="G8" s="1"/>
      <c r="I8" s="1" t="s">
        <v>260</v>
      </c>
      <c r="J8" s="1"/>
      <c r="K8" s="1" t="s">
        <v>261</v>
      </c>
      <c r="L8" s="1" t="s">
        <v>235</v>
      </c>
    </row>
    <row r="9" spans="3:13" x14ac:dyDescent="0.3">
      <c r="C9" s="1" t="s">
        <v>262</v>
      </c>
      <c r="D9" s="1" t="s">
        <v>246</v>
      </c>
      <c r="E9" s="1" t="s">
        <v>263</v>
      </c>
      <c r="F9" s="1" t="s">
        <v>235</v>
      </c>
      <c r="G9" s="1"/>
      <c r="I9" s="1" t="s">
        <v>264</v>
      </c>
      <c r="J9" s="1"/>
      <c r="K9" s="1" t="s">
        <v>265</v>
      </c>
      <c r="L9" s="1" t="s">
        <v>235</v>
      </c>
    </row>
    <row r="10" spans="3:13" x14ac:dyDescent="0.3">
      <c r="C10" s="1" t="s">
        <v>266</v>
      </c>
      <c r="D10" s="1" t="s">
        <v>246</v>
      </c>
      <c r="E10" s="1" t="s">
        <v>267</v>
      </c>
      <c r="F10" s="1" t="s">
        <v>235</v>
      </c>
      <c r="G10" s="1"/>
      <c r="I10" s="1" t="s">
        <v>268</v>
      </c>
      <c r="J10" s="1"/>
      <c r="K10" s="1" t="s">
        <v>269</v>
      </c>
      <c r="L10" s="1" t="s">
        <v>235</v>
      </c>
    </row>
    <row r="11" spans="3:13" x14ac:dyDescent="0.3">
      <c r="C11" s="1" t="s">
        <v>270</v>
      </c>
      <c r="D11" s="1" t="s">
        <v>271</v>
      </c>
      <c r="E11" s="1" t="s">
        <v>272</v>
      </c>
      <c r="F11" s="1" t="s">
        <v>235</v>
      </c>
      <c r="G11" s="1"/>
      <c r="I11" s="1" t="s">
        <v>273</v>
      </c>
      <c r="J11" s="1"/>
      <c r="K11" s="1" t="s">
        <v>274</v>
      </c>
      <c r="L11" s="1" t="s">
        <v>235</v>
      </c>
    </row>
    <row r="12" spans="3:13" x14ac:dyDescent="0.3">
      <c r="C12" s="1" t="s">
        <v>275</v>
      </c>
      <c r="D12" s="1" t="s">
        <v>276</v>
      </c>
      <c r="E12" s="1" t="s">
        <v>277</v>
      </c>
      <c r="F12" s="1" t="s">
        <v>235</v>
      </c>
      <c r="G12" s="1"/>
      <c r="I12" s="1" t="s">
        <v>278</v>
      </c>
      <c r="J12" s="1"/>
      <c r="K12" s="1" t="s">
        <v>279</v>
      </c>
      <c r="L12" s="1" t="s">
        <v>235</v>
      </c>
    </row>
    <row r="13" spans="3:13" x14ac:dyDescent="0.3">
      <c r="C13" s="1"/>
      <c r="D13" s="1"/>
      <c r="E13" s="1"/>
      <c r="F13" s="1"/>
      <c r="G13" s="1"/>
      <c r="I13" s="1" t="s">
        <v>280</v>
      </c>
      <c r="J13" s="1"/>
      <c r="K13" s="1" t="s">
        <v>281</v>
      </c>
      <c r="L13" s="1" t="s">
        <v>235</v>
      </c>
    </row>
    <row r="14" spans="3:13" x14ac:dyDescent="0.3">
      <c r="C14" s="1"/>
      <c r="D14" s="1"/>
      <c r="E14" s="1"/>
      <c r="F14" s="1"/>
      <c r="G14" s="1"/>
      <c r="I14" s="1" t="s">
        <v>282</v>
      </c>
      <c r="J14" s="1"/>
      <c r="K14" s="1" t="s">
        <v>283</v>
      </c>
      <c r="L14" s="1" t="s">
        <v>235</v>
      </c>
    </row>
    <row r="15" spans="3:13" x14ac:dyDescent="0.3">
      <c r="C15" s="1"/>
      <c r="D15" s="1" t="s">
        <v>284</v>
      </c>
      <c r="E15" s="1" t="s">
        <v>285</v>
      </c>
      <c r="F15" s="1" t="s">
        <v>286</v>
      </c>
      <c r="G15" s="1"/>
      <c r="I15" s="1" t="s">
        <v>287</v>
      </c>
      <c r="J15" s="1"/>
      <c r="K15" s="1" t="s">
        <v>288</v>
      </c>
      <c r="L15" s="1" t="s">
        <v>235</v>
      </c>
    </row>
    <row r="16" spans="3:13" x14ac:dyDescent="0.3">
      <c r="C16" s="1"/>
      <c r="D16" s="1" t="s">
        <v>289</v>
      </c>
      <c r="E16" s="1" t="s">
        <v>290</v>
      </c>
      <c r="F16" s="1" t="s">
        <v>286</v>
      </c>
      <c r="G16" s="1"/>
      <c r="I16" s="1" t="s">
        <v>291</v>
      </c>
      <c r="J16" s="1"/>
      <c r="K16" s="1" t="s">
        <v>292</v>
      </c>
      <c r="L16" s="1" t="s">
        <v>235</v>
      </c>
    </row>
  </sheetData>
  <phoneticPr fontId="5" type="noConversion"/>
  <pageMargins left="0.7" right="0.7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B4" sqref="B4"/>
    </sheetView>
  </sheetViews>
  <sheetFormatPr defaultColWidth="8.58203125" defaultRowHeight="14" x14ac:dyDescent="0.3"/>
  <cols>
    <col min="8" max="8" width="16.5" customWidth="1"/>
    <col min="9" max="9" width="13.58203125" customWidth="1"/>
    <col min="10" max="10" width="12.83203125" customWidth="1"/>
  </cols>
  <sheetData>
    <row r="1" spans="1:4" x14ac:dyDescent="0.3">
      <c r="A1" s="1"/>
      <c r="B1" s="2" t="s">
        <v>293</v>
      </c>
      <c r="C1" s="2" t="s">
        <v>294</v>
      </c>
      <c r="D1" s="2"/>
    </row>
    <row r="2" spans="1:4" x14ac:dyDescent="0.3">
      <c r="A2" s="1" t="s">
        <v>295</v>
      </c>
      <c r="B2" s="2" t="s">
        <v>296</v>
      </c>
      <c r="C2" s="2">
        <v>522</v>
      </c>
      <c r="D2" s="2"/>
    </row>
    <row r="3" spans="1:4" x14ac:dyDescent="0.3">
      <c r="A3" s="1" t="s">
        <v>297</v>
      </c>
      <c r="B3" s="1" t="s">
        <v>298</v>
      </c>
      <c r="C3" s="3">
        <v>2026</v>
      </c>
      <c r="D3" s="1"/>
    </row>
    <row r="4" spans="1:4" x14ac:dyDescent="0.3">
      <c r="A4" s="1" t="s">
        <v>299</v>
      </c>
      <c r="B4" s="1" t="s">
        <v>300</v>
      </c>
      <c r="C4" s="3">
        <v>4</v>
      </c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 t="s">
        <v>301</v>
      </c>
      <c r="B8" s="1" t="s">
        <v>302</v>
      </c>
      <c r="C8" s="1"/>
      <c r="D8" s="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PLC对应MODBUS地址表</vt:lpstr>
      <vt:lpstr>计算公式</vt:lpstr>
      <vt:lpstr>故障代码</vt:lpstr>
      <vt:lpstr>输入输出模块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2026-03-13T14:26:01Z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C56843A64F084C5FA590C2B8CE03A6DD_12</vt:lpwstr>
  </property>
  <property fmtid="{D5CDD505-2E9C-101B-9397-08002B2CF9AE}" pid="3" name="KSOProductBuildVer">
    <vt:lpwstr>2052-12.8.2.18205</vt:lpwstr>
  </property>
</Properties>
</file>